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ayee\OneDrive\Desktop\Thesis\"/>
    </mc:Choice>
  </mc:AlternateContent>
  <xr:revisionPtr revIDLastSave="0" documentId="13_ncr:1_{E7F05DF7-30A0-486E-B997-7D9970F0CA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cessed Data" sheetId="3" r:id="rId1"/>
    <sheet name="Data" sheetId="1" r:id="rId2"/>
  </sheets>
  <calcPr calcId="191029"/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</calcChain>
</file>

<file path=xl/sharedStrings.xml><?xml version="1.0" encoding="utf-8"?>
<sst xmlns="http://schemas.openxmlformats.org/spreadsheetml/2006/main" count="387" uniqueCount="50">
  <si>
    <t>时间戳记</t>
  </si>
  <si>
    <t>Gender</t>
  </si>
  <si>
    <t>Age</t>
  </si>
  <si>
    <t>Employ Status</t>
  </si>
  <si>
    <t>Education (Including currently pursuing)</t>
  </si>
  <si>
    <t>AI usage per week (how many times a week)</t>
  </si>
  <si>
    <t>Using AI in banking can meet my service needs.</t>
  </si>
  <si>
    <t>Banking AI can save time.</t>
  </si>
  <si>
    <t>Banking AI can improve efficiency.</t>
  </si>
  <si>
    <t>Overall, I find AI in banking to be useful.</t>
  </si>
  <si>
    <t>Learning to use AI in banking is easy to me.</t>
  </si>
  <si>
    <t>I find it easy to use AI in banking.</t>
  </si>
  <si>
    <t>I find it easy to become skilled at using banking AI.</t>
  </si>
  <si>
    <t xml:space="preserve">Interacting with AI in banking requires minimal mental effort from me. </t>
  </si>
  <si>
    <t>I believe using AI in banking is a good idea.</t>
  </si>
  <si>
    <t>Using banking AI is a pleasant experience.</t>
  </si>
  <si>
    <t xml:space="preserve">Utilising AI in banking appears to be a wise idea. </t>
  </si>
  <si>
    <t>I am interested in the application of AI in Banking.</t>
  </si>
  <si>
    <t>I believe that money is easy to be stolen by using AI in banking.</t>
  </si>
  <si>
    <t>I believe personal privacy will be disclosed by using AI in banking.</t>
  </si>
  <si>
    <t>Using AI in banking subjects my banking account to potential fraud.</t>
  </si>
  <si>
    <t>AI in banking may not perform well and could create issues with my bank account.</t>
  </si>
  <si>
    <t>I believe that banking AI is trustworthy.</t>
  </si>
  <si>
    <t>The AI in banking provides banking services in my best interest.</t>
  </si>
  <si>
    <t>I believe that AI in banking provide safe services.</t>
  </si>
  <si>
    <t>I trust banking AI to protect my personal information.</t>
  </si>
  <si>
    <t>I would like to use banking AI soon.</t>
  </si>
  <si>
    <t xml:space="preserve">If AI in banking become available, I would adopt them. </t>
  </si>
  <si>
    <t xml:space="preserve">I intend to use AI banking in my banking process. </t>
  </si>
  <si>
    <t>Male</t>
  </si>
  <si>
    <t>22 - 25</t>
  </si>
  <si>
    <t>Unemployed</t>
  </si>
  <si>
    <t>Bachelor Degree</t>
  </si>
  <si>
    <t>16 - 20</t>
  </si>
  <si>
    <t>Student</t>
  </si>
  <si>
    <t>18 - 21</t>
  </si>
  <si>
    <t>&gt; 20</t>
  </si>
  <si>
    <t>6 -10</t>
  </si>
  <si>
    <t>Female</t>
  </si>
  <si>
    <t>11 - 15</t>
  </si>
  <si>
    <t>Diploma or Equivalent</t>
  </si>
  <si>
    <t>0 - 5</t>
  </si>
  <si>
    <t>26 - 29</t>
  </si>
  <si>
    <t>Employed</t>
  </si>
  <si>
    <t>Perceived Usefulness</t>
  </si>
  <si>
    <t>Perceived Ease of Use</t>
  </si>
  <si>
    <t>Attitude</t>
  </si>
  <si>
    <t>Perceived Risk</t>
  </si>
  <si>
    <t>Perceived Trust</t>
  </si>
  <si>
    <t>Intention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</si>
</sst>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25">
    <xf numFmtId="0" fontId="0" fillId="0" borderId="0" xfId="0"/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2" borderId="0" xfId="0" applyFill="1"/>
    <xf numFmtId="0" fontId="1" fillId="2" borderId="5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2" fillId="2" borderId="0" xfId="0" applyFont="1" applyFill="1"/>
    <xf numFmtId="0" fontId="0" fillId="3" borderId="0" xfId="0" applyFill="1"/>
    <xf numFmtId="2" fontId="1" fillId="0" borderId="4" xfId="0" applyNumberFormat="1" applyFont="1" applyBorder="1" applyAlignment="1">
      <alignment vertical="center"/>
    </xf>
    <xf numFmtId="2" fontId="1" fillId="0" borderId="7" xfId="0" applyNumberFormat="1" applyFont="1" applyBorder="1" applyAlignment="1">
      <alignment vertical="center"/>
    </xf>
    <xf numFmtId="2" fontId="1" fillId="0" borderId="10" xfId="0" applyNumberFormat="1" applyFont="1" applyBorder="1" applyAlignment="1">
      <alignment vertical="center"/>
    </xf>
    <xf numFmtId="2" fontId="1" fillId="0" borderId="5" xfId="0" applyNumberFormat="1" applyFont="1" applyBorder="1" applyAlignment="1">
      <alignment vertical="center"/>
    </xf>
    <xf numFmtId="2" fontId="1" fillId="0" borderId="8" xfId="0" applyNumberFormat="1" applyFont="1" applyBorder="1" applyAlignment="1">
      <alignment vertical="center"/>
    </xf>
    <xf numFmtId="2" fontId="1" fillId="0" borderId="11" xfId="0" applyNumberFormat="1" applyFont="1" applyBorder="1" applyAlignment="1">
      <alignment vertical="center"/>
    </xf>
  </cellXfs>
  <cellStyles count="1">
    <cellStyle name="Normal" xfId="0" builtinId="0"/>
  </cellStyles>
  <dxfs count="18">
    <dxf>
      <font>
        <color theme="1"/>
        <family val="2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442F65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border outline="0">
        <right style="thin">
          <color rgb="FF442F65"/>
        </right>
      </border>
    </dxf>
    <dxf>
      <fill>
        <patternFill patternType="solid"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numFmt numFmtId="0" formatCode="General"/>
      <fill>
        <patternFill>
          <fgColor indexed="64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fill>
        <patternFill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</border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第 1 张表单回复-style" pivot="0" count="3" xr9:uid="{00000000-0011-0000-FFFF-FFFF00000000}"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2143EF-F2BC-44EE-93CA-32F39FA3E234}" name="Form_Responses3" displayName="Form_Responses3" ref="A1:L35" headerRowDxfId="7">
  <tableColumns count="12">
    <tableColumn id="1" xr3:uid="{B5B20977-5DAA-4F57-9E90-C60454645D94}" name="时间戳记"/>
    <tableColumn id="2" xr3:uid="{3B06D214-0CEC-48FA-917D-F580475DEB28}" name="Gender"/>
    <tableColumn id="3" xr3:uid="{91BBF0FB-27E6-4044-AB5F-9597ACBA01C4}" name="Age"/>
    <tableColumn id="4" xr3:uid="{8AE9F07E-195A-46B5-BAC0-F3111E9772F7}" name="Employ Status"/>
    <tableColumn id="5" xr3:uid="{5CB3794F-E260-45CC-83F5-7C3909D103BB}" name="Education (Including currently pursuing)"/>
    <tableColumn id="6" xr3:uid="{BC90ADD3-43FB-446B-81F5-C5E605B55235}" name="AI usage per week (how many times a week)" dataDxfId="6"/>
    <tableColumn id="30" xr3:uid="{61194F94-CBAB-48F4-8902-23FC7E337136}" name="Perceived Usefulness" dataDxfId="5">
      <calculatedColumnFormula>Form_Responses[[#This Row],[Perceived Usefulness]]</calculatedColumnFormula>
    </tableColumn>
    <tableColumn id="31" xr3:uid="{02270AFA-DCD8-4FA6-8D24-4470320D5B86}" name="Perceived Ease of Use" dataDxfId="4">
      <calculatedColumnFormula>Form_Responses[[#This Row],[Perceived Ease of Use]]</calculatedColumnFormula>
    </tableColumn>
    <tableColumn id="32" xr3:uid="{90CE99DB-7239-467D-9983-80510AFB124B}" name="Attitude" dataDxfId="3">
      <calculatedColumnFormula>Form_Responses[[#This Row],[Attitude]]</calculatedColumnFormula>
    </tableColumn>
    <tableColumn id="33" xr3:uid="{8E37AF89-601B-42B2-B35E-52E62EB01CAD}" name="Perceived Risk" dataDxfId="2">
      <calculatedColumnFormula>Form_Responses[[#This Row],[Perceived Risk]]</calculatedColumnFormula>
    </tableColumn>
    <tableColumn id="34" xr3:uid="{09705056-ADD9-4CC1-9601-3A12716E54BF}" name="Perceived Trust" dataDxfId="1">
      <calculatedColumnFormula>Form_Responses[[#This Row],[Perceived Trust]]</calculatedColumnFormula>
    </tableColumn>
    <tableColumn id="35" xr3:uid="{57A88A95-848B-41E8-89E8-7D809B8001FA}" name="Intention" dataDxfId="0">
      <calculatedColumnFormula>Form_Responses[[#This Row],[Intention]]</calculatedColumnFormula>
    </tableColumn>
  </tableColumns>
  <tableStyleInfo name="第 1 张表单回复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I35" headerRowDxfId="14">
  <tableColumns count="35">
    <tableColumn id="1" xr3:uid="{00000000-0010-0000-0000-000001000000}" name="时间戳记"/>
    <tableColumn id="2" xr3:uid="{00000000-0010-0000-0000-000002000000}" name="Gender"/>
    <tableColumn id="3" xr3:uid="{00000000-0010-0000-0000-000003000000}" name="Age"/>
    <tableColumn id="4" xr3:uid="{00000000-0010-0000-0000-000004000000}" name="Employ Status"/>
    <tableColumn id="5" xr3:uid="{00000000-0010-0000-0000-000005000000}" name="Education (Including currently pursuing)"/>
    <tableColumn id="6" xr3:uid="{00000000-0010-0000-0000-000006000000}" name="AI usage per week (how many times a week)"/>
    <tableColumn id="7" xr3:uid="{00000000-0010-0000-0000-000007000000}" name="Using AI in banking can meet my service needs."/>
    <tableColumn id="8" xr3:uid="{00000000-0010-0000-0000-000008000000}" name="Banking AI can save time."/>
    <tableColumn id="9" xr3:uid="{00000000-0010-0000-0000-000009000000}" name="Banking AI can improve efficiency."/>
    <tableColumn id="10" xr3:uid="{00000000-0010-0000-0000-00000A000000}" name="Overall, I find AI in banking to be useful."/>
    <tableColumn id="30" xr3:uid="{B1456543-B53C-4068-BE9F-C6B612131D0E}" name="Perceived Usefulness" dataDxfId="12">
      <calculatedColumnFormula>AVERAGE(Form_Responses[[#This Row],[Using AI in banking can meet my service needs.]:[Overall, I find AI in banking to be useful.]])</calculatedColumnFormula>
    </tableColumn>
    <tableColumn id="11" xr3:uid="{00000000-0010-0000-0000-00000B000000}" name="Learning to use AI in banking is easy to me."/>
    <tableColumn id="12" xr3:uid="{00000000-0010-0000-0000-00000C000000}" name="I find it easy to use AI in banking."/>
    <tableColumn id="13" xr3:uid="{00000000-0010-0000-0000-00000D000000}" name="I find it easy to become skilled at using banking AI."/>
    <tableColumn id="14" xr3:uid="{00000000-0010-0000-0000-00000E000000}" name="Interacting with AI in banking requires minimal mental effort from me. "/>
    <tableColumn id="31" xr3:uid="{E63020B8-E0A9-429F-A1B8-7226B562DE20}" name="Perceived Ease of Use" dataDxfId="13">
      <calculatedColumnFormula>AVERAGE(Form_Responses[[#This Row],[Learning to use AI in banking is easy to me.]:[Interacting with AI in banking requires minimal mental effort from me. ]])</calculatedColumnFormula>
    </tableColumn>
    <tableColumn id="15" xr3:uid="{00000000-0010-0000-0000-00000F000000}" name="I believe using AI in banking is a good idea."/>
    <tableColumn id="16" xr3:uid="{00000000-0010-0000-0000-000010000000}" name="Using banking AI is a pleasant experience."/>
    <tableColumn id="17" xr3:uid="{00000000-0010-0000-0000-000011000000}" name="Utilising AI in banking appears to be a wise idea. "/>
    <tableColumn id="18" xr3:uid="{00000000-0010-0000-0000-000012000000}" name="I am interested in the application of AI in Banking."/>
    <tableColumn id="32" xr3:uid="{786824DE-31DD-485E-9079-3DBE440CB84B}" name="Attitude" dataDxfId="11">
      <calculatedColumnFormula>AVERAGE(Form_Responses[[#This Row],[I believe using AI in banking is a good idea.]:[I am interested in the application of AI in Banking.]])</calculatedColumnFormula>
    </tableColumn>
    <tableColumn id="19" xr3:uid="{00000000-0010-0000-0000-000013000000}" name="I believe that money is easy to be stolen by using AI in banking."/>
    <tableColumn id="20" xr3:uid="{00000000-0010-0000-0000-000014000000}" name="I believe personal privacy will be disclosed by using AI in banking."/>
    <tableColumn id="21" xr3:uid="{00000000-0010-0000-0000-000015000000}" name="Using AI in banking subjects my banking account to potential fraud."/>
    <tableColumn id="22" xr3:uid="{00000000-0010-0000-0000-000016000000}" name="AI in banking may not perform well and could create issues with my bank account."/>
    <tableColumn id="33" xr3:uid="{1EB8E5C4-D0FA-48FC-9BDF-A5872BBF432A}" name="Perceived Risk" dataDxfId="10">
      <calculatedColumnFormula>AVERAGE(Form_Responses[[#This Row],[I believe that money is easy to be stolen by using AI in banking.]:[AI in banking may not perform well and could create issues with my bank account.]])</calculatedColumnFormula>
    </tableColumn>
    <tableColumn id="23" xr3:uid="{00000000-0010-0000-0000-000017000000}" name="I believe that banking AI is trustworthy."/>
    <tableColumn id="24" xr3:uid="{00000000-0010-0000-0000-000018000000}" name="The AI in banking provides banking services in my best interest."/>
    <tableColumn id="25" xr3:uid="{00000000-0010-0000-0000-000019000000}" name="I believe that AI in banking provide safe services."/>
    <tableColumn id="26" xr3:uid="{00000000-0010-0000-0000-00001A000000}" name="I trust banking AI to protect my personal information."/>
    <tableColumn id="34" xr3:uid="{218543EE-2BB7-4B99-A13F-F88468363C3A}" name="Perceived Trust" dataDxfId="8">
      <calculatedColumnFormula>AVERAGE(Form_Responses[[#This Row],[I believe that banking AI is trustworthy.]:[I trust banking AI to protect my personal information.]])</calculatedColumnFormula>
    </tableColumn>
    <tableColumn id="27" xr3:uid="{00000000-0010-0000-0000-00001B000000}" name="I would like to use banking AI soon."/>
    <tableColumn id="28" xr3:uid="{00000000-0010-0000-0000-00001C000000}" name="If AI in banking become available, I would adopt them. "/>
    <tableColumn id="29" xr3:uid="{00000000-0010-0000-0000-00001D000000}" name="I intend to use AI banking in my banking process. "/>
    <tableColumn id="35" xr3:uid="{4277EF70-1C81-4704-B399-626DD28360C7}" name="Intention" dataDxfId="9">
      <calculatedColumnFormula>AVERAGE(Form_Responses[[#This Row],[I would like to use banking AI soon.]:[I intend to use AI banking in my banking process. ]])</calculatedColumnFormula>
    </tableColumn>
  </tableColumns>
  <tableStyleInfo name="第 1 张表单回复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ECE5-42B2-42E0-B702-0C4B87F847D2}">
  <sheetPr>
    <outlinePr summaryBelow="0" summaryRight="0"/>
  </sheetPr>
  <dimension ref="A1:L35"/>
  <sheetViews>
    <sheetView tabSelected="1" zoomScale="55" zoomScaleNormal="55" workbookViewId="0">
      <pane ySplit="1" topLeftCell="A2" activePane="bottomLeft" state="frozen"/>
      <selection pane="bottomLeft" activeCell="H2" sqref="H2:L35"/>
    </sheetView>
  </sheetViews>
  <sheetFormatPr defaultColWidth="12.6640625" defaultRowHeight="15.75" customHeight="1" x14ac:dyDescent="0.25"/>
  <cols>
    <col min="1" max="4" width="18.88671875" customWidth="1"/>
    <col min="5" max="5" width="34.109375" customWidth="1"/>
    <col min="6" max="6" width="37.44140625" customWidth="1"/>
    <col min="7" max="7" width="33.77734375" style="18" customWidth="1"/>
    <col min="8" max="11" width="37.6640625" style="18" customWidth="1"/>
    <col min="12" max="12" width="18.88671875" style="18" customWidth="1"/>
    <col min="13" max="17" width="18.88671875" customWidth="1"/>
  </cols>
  <sheetData>
    <row r="1" spans="1:12" s="13" customForma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7" t="s">
        <v>49</v>
      </c>
    </row>
    <row r="2" spans="1:12" x14ac:dyDescent="0.25">
      <c r="A2" s="1">
        <v>45912.594800405088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19">
        <f>Form_Responses[[#This Row],[Perceived Usefulness]]</f>
        <v>3.25</v>
      </c>
      <c r="H2" s="22">
        <f>Form_Responses[[#This Row],[Perceived Ease of Use]]</f>
        <v>3</v>
      </c>
      <c r="I2" s="22">
        <f>Form_Responses[[#This Row],[Attitude]]</f>
        <v>5</v>
      </c>
      <c r="J2" s="22">
        <f>Form_Responses[[#This Row],[Perceived Risk]]</f>
        <v>4</v>
      </c>
      <c r="K2" s="22">
        <f>Form_Responses[[#This Row],[Perceived Trust]]</f>
        <v>1.25</v>
      </c>
      <c r="L2" s="22">
        <f>Form_Responses[[#This Row],[Intention]]</f>
        <v>4.333333333333333</v>
      </c>
    </row>
    <row r="3" spans="1:12" x14ac:dyDescent="0.25">
      <c r="A3" s="4">
        <v>45912.601103067129</v>
      </c>
      <c r="B3" s="5" t="s">
        <v>29</v>
      </c>
      <c r="C3" s="5" t="s">
        <v>30</v>
      </c>
      <c r="D3" s="5" t="s">
        <v>34</v>
      </c>
      <c r="E3" s="5" t="s">
        <v>32</v>
      </c>
      <c r="F3" s="5" t="s">
        <v>33</v>
      </c>
      <c r="G3" s="20">
        <f>Form_Responses[[#This Row],[Perceived Usefulness]]</f>
        <v>5</v>
      </c>
      <c r="H3" s="23">
        <f>Form_Responses[[#This Row],[Perceived Ease of Use]]</f>
        <v>4.75</v>
      </c>
      <c r="I3" s="23">
        <f>Form_Responses[[#This Row],[Attitude]]</f>
        <v>4.75</v>
      </c>
      <c r="J3" s="23">
        <f>Form_Responses[[#This Row],[Perceived Risk]]</f>
        <v>3.5</v>
      </c>
      <c r="K3" s="23">
        <f>Form_Responses[[#This Row],[Perceived Trust]]</f>
        <v>3.25</v>
      </c>
      <c r="L3" s="23">
        <f>Form_Responses[[#This Row],[Intention]]</f>
        <v>3.6666666666666665</v>
      </c>
    </row>
    <row r="4" spans="1:12" x14ac:dyDescent="0.25">
      <c r="A4" s="1">
        <v>45912.604781944443</v>
      </c>
      <c r="B4" s="2" t="s">
        <v>29</v>
      </c>
      <c r="C4" s="2" t="s">
        <v>35</v>
      </c>
      <c r="D4" s="2" t="s">
        <v>34</v>
      </c>
      <c r="E4" s="2" t="s">
        <v>32</v>
      </c>
      <c r="F4" s="2" t="s">
        <v>36</v>
      </c>
      <c r="G4" s="19">
        <f>Form_Responses[[#This Row],[Perceived Usefulness]]</f>
        <v>4.25</v>
      </c>
      <c r="H4" s="22">
        <f>Form_Responses[[#This Row],[Perceived Ease of Use]]</f>
        <v>4.5</v>
      </c>
      <c r="I4" s="22">
        <f>Form_Responses[[#This Row],[Attitude]]</f>
        <v>4.25</v>
      </c>
      <c r="J4" s="22">
        <f>Form_Responses[[#This Row],[Perceived Risk]]</f>
        <v>4.5</v>
      </c>
      <c r="K4" s="22">
        <f>Form_Responses[[#This Row],[Perceived Trust]]</f>
        <v>4.5</v>
      </c>
      <c r="L4" s="22">
        <f>Form_Responses[[#This Row],[Intention]]</f>
        <v>4.666666666666667</v>
      </c>
    </row>
    <row r="5" spans="1:12" x14ac:dyDescent="0.25">
      <c r="A5" s="4">
        <v>45912.605999027779</v>
      </c>
      <c r="B5" s="5" t="s">
        <v>29</v>
      </c>
      <c r="C5" s="5" t="s">
        <v>35</v>
      </c>
      <c r="D5" s="5" t="s">
        <v>34</v>
      </c>
      <c r="E5" s="5" t="s">
        <v>32</v>
      </c>
      <c r="F5" s="5" t="s">
        <v>37</v>
      </c>
      <c r="G5" s="20">
        <f>Form_Responses[[#This Row],[Perceived Usefulness]]</f>
        <v>5</v>
      </c>
      <c r="H5" s="23">
        <f>Form_Responses[[#This Row],[Perceived Ease of Use]]</f>
        <v>2.75</v>
      </c>
      <c r="I5" s="23">
        <f>Form_Responses[[#This Row],[Attitude]]</f>
        <v>5</v>
      </c>
      <c r="J5" s="23">
        <f>Form_Responses[[#This Row],[Perceived Risk]]</f>
        <v>3.25</v>
      </c>
      <c r="K5" s="23">
        <f>Form_Responses[[#This Row],[Perceived Trust]]</f>
        <v>3.75</v>
      </c>
      <c r="L5" s="23">
        <f>Form_Responses[[#This Row],[Intention]]</f>
        <v>5</v>
      </c>
    </row>
    <row r="6" spans="1:12" x14ac:dyDescent="0.25">
      <c r="A6" s="1">
        <v>45912.60908086806</v>
      </c>
      <c r="B6" s="2" t="s">
        <v>29</v>
      </c>
      <c r="C6" s="2" t="s">
        <v>30</v>
      </c>
      <c r="D6" s="2" t="s">
        <v>34</v>
      </c>
      <c r="E6" s="2" t="s">
        <v>32</v>
      </c>
      <c r="F6" s="2" t="s">
        <v>37</v>
      </c>
      <c r="G6" s="19">
        <f>Form_Responses[[#This Row],[Perceived Usefulness]]</f>
        <v>4.25</v>
      </c>
      <c r="H6" s="22">
        <f>Form_Responses[[#This Row],[Perceived Ease of Use]]</f>
        <v>3.5</v>
      </c>
      <c r="I6" s="22">
        <f>Form_Responses[[#This Row],[Attitude]]</f>
        <v>3.5</v>
      </c>
      <c r="J6" s="22">
        <f>Form_Responses[[#This Row],[Perceived Risk]]</f>
        <v>2.5</v>
      </c>
      <c r="K6" s="22">
        <f>Form_Responses[[#This Row],[Perceived Trust]]</f>
        <v>4</v>
      </c>
      <c r="L6" s="22">
        <f>Form_Responses[[#This Row],[Intention]]</f>
        <v>3.6666666666666665</v>
      </c>
    </row>
    <row r="7" spans="1:12" x14ac:dyDescent="0.25">
      <c r="A7" s="4">
        <v>45912.610834467589</v>
      </c>
      <c r="B7" s="5" t="s">
        <v>29</v>
      </c>
      <c r="C7" s="5" t="s">
        <v>35</v>
      </c>
      <c r="D7" s="5" t="s">
        <v>34</v>
      </c>
      <c r="E7" s="5" t="s">
        <v>32</v>
      </c>
      <c r="F7" s="5" t="s">
        <v>36</v>
      </c>
      <c r="G7" s="20">
        <f>Form_Responses[[#This Row],[Perceived Usefulness]]</f>
        <v>3.5</v>
      </c>
      <c r="H7" s="23">
        <f>Form_Responses[[#This Row],[Perceived Ease of Use]]</f>
        <v>4.25</v>
      </c>
      <c r="I7" s="23">
        <f>Form_Responses[[#This Row],[Attitude]]</f>
        <v>3.5</v>
      </c>
      <c r="J7" s="23">
        <f>Form_Responses[[#This Row],[Perceived Risk]]</f>
        <v>5</v>
      </c>
      <c r="K7" s="23">
        <f>Form_Responses[[#This Row],[Perceived Trust]]</f>
        <v>1.5</v>
      </c>
      <c r="L7" s="23">
        <f>Form_Responses[[#This Row],[Intention]]</f>
        <v>1.6666666666666667</v>
      </c>
    </row>
    <row r="8" spans="1:12" x14ac:dyDescent="0.25">
      <c r="A8" s="1">
        <v>45912.623992233799</v>
      </c>
      <c r="B8" s="2" t="s">
        <v>38</v>
      </c>
      <c r="C8" s="2" t="s">
        <v>35</v>
      </c>
      <c r="D8" s="2" t="s">
        <v>34</v>
      </c>
      <c r="E8" s="2" t="s">
        <v>32</v>
      </c>
      <c r="F8" s="2" t="s">
        <v>33</v>
      </c>
      <c r="G8" s="19">
        <f>Form_Responses[[#This Row],[Perceived Usefulness]]</f>
        <v>4</v>
      </c>
      <c r="H8" s="22">
        <f>Form_Responses[[#This Row],[Perceived Ease of Use]]</f>
        <v>4.25</v>
      </c>
      <c r="I8" s="22">
        <f>Form_Responses[[#This Row],[Attitude]]</f>
        <v>4</v>
      </c>
      <c r="J8" s="22">
        <f>Form_Responses[[#This Row],[Perceived Risk]]</f>
        <v>4.25</v>
      </c>
      <c r="K8" s="22">
        <f>Form_Responses[[#This Row],[Perceived Trust]]</f>
        <v>4</v>
      </c>
      <c r="L8" s="22">
        <f>Form_Responses[[#This Row],[Intention]]</f>
        <v>4.333333333333333</v>
      </c>
    </row>
    <row r="9" spans="1:12" x14ac:dyDescent="0.25">
      <c r="A9" s="4">
        <v>45912.624859791671</v>
      </c>
      <c r="B9" s="5" t="s">
        <v>29</v>
      </c>
      <c r="C9" s="5" t="s">
        <v>35</v>
      </c>
      <c r="D9" s="5" t="s">
        <v>34</v>
      </c>
      <c r="E9" s="5" t="s">
        <v>32</v>
      </c>
      <c r="F9" s="5" t="s">
        <v>39</v>
      </c>
      <c r="G9" s="20">
        <f>Form_Responses[[#This Row],[Perceived Usefulness]]</f>
        <v>5</v>
      </c>
      <c r="H9" s="23">
        <f>Form_Responses[[#This Row],[Perceived Ease of Use]]</f>
        <v>4.25</v>
      </c>
      <c r="I9" s="23">
        <f>Form_Responses[[#This Row],[Attitude]]</f>
        <v>4.5</v>
      </c>
      <c r="J9" s="23">
        <f>Form_Responses[[#This Row],[Perceived Risk]]</f>
        <v>4</v>
      </c>
      <c r="K9" s="23">
        <f>Form_Responses[[#This Row],[Perceived Trust]]</f>
        <v>3.75</v>
      </c>
      <c r="L9" s="23">
        <f>Form_Responses[[#This Row],[Intention]]</f>
        <v>5</v>
      </c>
    </row>
    <row r="10" spans="1:12" x14ac:dyDescent="0.25">
      <c r="A10" s="1">
        <v>45912.646989155095</v>
      </c>
      <c r="B10" s="2" t="s">
        <v>38</v>
      </c>
      <c r="C10" s="2" t="s">
        <v>30</v>
      </c>
      <c r="D10" s="2" t="s">
        <v>34</v>
      </c>
      <c r="E10" s="2" t="s">
        <v>32</v>
      </c>
      <c r="F10" s="2" t="s">
        <v>37</v>
      </c>
      <c r="G10" s="19">
        <f>Form_Responses[[#This Row],[Perceived Usefulness]]</f>
        <v>3.75</v>
      </c>
      <c r="H10" s="22">
        <f>Form_Responses[[#This Row],[Perceived Ease of Use]]</f>
        <v>3.5</v>
      </c>
      <c r="I10" s="22">
        <f>Form_Responses[[#This Row],[Attitude]]</f>
        <v>3.75</v>
      </c>
      <c r="J10" s="22">
        <f>Form_Responses[[#This Row],[Perceived Risk]]</f>
        <v>3</v>
      </c>
      <c r="K10" s="22">
        <f>Form_Responses[[#This Row],[Perceived Trust]]</f>
        <v>3.5</v>
      </c>
      <c r="L10" s="22">
        <f>Form_Responses[[#This Row],[Intention]]</f>
        <v>4</v>
      </c>
    </row>
    <row r="11" spans="1:12" x14ac:dyDescent="0.25">
      <c r="A11" s="4">
        <v>45912.652533576387</v>
      </c>
      <c r="B11" s="5" t="s">
        <v>29</v>
      </c>
      <c r="C11" s="5" t="s">
        <v>35</v>
      </c>
      <c r="D11" s="5" t="s">
        <v>34</v>
      </c>
      <c r="E11" s="5" t="s">
        <v>32</v>
      </c>
      <c r="F11" s="5" t="s">
        <v>36</v>
      </c>
      <c r="G11" s="20">
        <f>Form_Responses[[#This Row],[Perceived Usefulness]]</f>
        <v>5</v>
      </c>
      <c r="H11" s="23">
        <f>Form_Responses[[#This Row],[Perceived Ease of Use]]</f>
        <v>3.75</v>
      </c>
      <c r="I11" s="23">
        <f>Form_Responses[[#This Row],[Attitude]]</f>
        <v>5</v>
      </c>
      <c r="J11" s="23">
        <f>Form_Responses[[#This Row],[Perceived Risk]]</f>
        <v>2.25</v>
      </c>
      <c r="K11" s="23">
        <f>Form_Responses[[#This Row],[Perceived Trust]]</f>
        <v>4</v>
      </c>
      <c r="L11" s="23">
        <f>Form_Responses[[#This Row],[Intention]]</f>
        <v>4.666666666666667</v>
      </c>
    </row>
    <row r="12" spans="1:12" x14ac:dyDescent="0.25">
      <c r="A12" s="1">
        <v>45912.695985543978</v>
      </c>
      <c r="B12" s="2" t="s">
        <v>38</v>
      </c>
      <c r="C12" s="2" t="s">
        <v>35</v>
      </c>
      <c r="D12" s="2" t="s">
        <v>34</v>
      </c>
      <c r="E12" s="2" t="s">
        <v>32</v>
      </c>
      <c r="F12" s="2" t="s">
        <v>39</v>
      </c>
      <c r="G12" s="19">
        <f>Form_Responses[[#This Row],[Perceived Usefulness]]</f>
        <v>4</v>
      </c>
      <c r="H12" s="22">
        <f>Form_Responses[[#This Row],[Perceived Ease of Use]]</f>
        <v>3</v>
      </c>
      <c r="I12" s="22">
        <f>Form_Responses[[#This Row],[Attitude]]</f>
        <v>3.75</v>
      </c>
      <c r="J12" s="22">
        <f>Form_Responses[[#This Row],[Perceived Risk]]</f>
        <v>2.5</v>
      </c>
      <c r="K12" s="22">
        <f>Form_Responses[[#This Row],[Perceived Trust]]</f>
        <v>3.25</v>
      </c>
      <c r="L12" s="22">
        <f>Form_Responses[[#This Row],[Intention]]</f>
        <v>4</v>
      </c>
    </row>
    <row r="13" spans="1:12" x14ac:dyDescent="0.25">
      <c r="A13" s="4">
        <v>45912.732038043978</v>
      </c>
      <c r="B13" s="5" t="s">
        <v>29</v>
      </c>
      <c r="C13" s="5" t="s">
        <v>35</v>
      </c>
      <c r="D13" s="5" t="s">
        <v>34</v>
      </c>
      <c r="E13" s="5" t="s">
        <v>40</v>
      </c>
      <c r="F13" s="5" t="s">
        <v>39</v>
      </c>
      <c r="G13" s="20">
        <f>Form_Responses[[#This Row],[Perceived Usefulness]]</f>
        <v>4.5</v>
      </c>
      <c r="H13" s="23">
        <f>Form_Responses[[#This Row],[Perceived Ease of Use]]</f>
        <v>3</v>
      </c>
      <c r="I13" s="23">
        <f>Form_Responses[[#This Row],[Attitude]]</f>
        <v>3.5</v>
      </c>
      <c r="J13" s="23">
        <f>Form_Responses[[#This Row],[Perceived Risk]]</f>
        <v>4</v>
      </c>
      <c r="K13" s="23">
        <f>Form_Responses[[#This Row],[Perceived Trust]]</f>
        <v>3</v>
      </c>
      <c r="L13" s="23">
        <f>Form_Responses[[#This Row],[Intention]]</f>
        <v>3.6666666666666665</v>
      </c>
    </row>
    <row r="14" spans="1:12" x14ac:dyDescent="0.25">
      <c r="A14" s="1">
        <v>45912.745382766203</v>
      </c>
      <c r="B14" s="2" t="s">
        <v>38</v>
      </c>
      <c r="C14" s="2" t="s">
        <v>35</v>
      </c>
      <c r="D14" s="2" t="s">
        <v>34</v>
      </c>
      <c r="E14" s="2" t="s">
        <v>32</v>
      </c>
      <c r="F14" s="2" t="s">
        <v>41</v>
      </c>
      <c r="G14" s="19">
        <f>Form_Responses[[#This Row],[Perceived Usefulness]]</f>
        <v>4.25</v>
      </c>
      <c r="H14" s="22">
        <f>Form_Responses[[#This Row],[Perceived Ease of Use]]</f>
        <v>4.25</v>
      </c>
      <c r="I14" s="22">
        <f>Form_Responses[[#This Row],[Attitude]]</f>
        <v>4</v>
      </c>
      <c r="J14" s="22">
        <f>Form_Responses[[#This Row],[Perceived Risk]]</f>
        <v>2.5</v>
      </c>
      <c r="K14" s="22">
        <f>Form_Responses[[#This Row],[Perceived Trust]]</f>
        <v>3.75</v>
      </c>
      <c r="L14" s="22">
        <f>Form_Responses[[#This Row],[Intention]]</f>
        <v>4.666666666666667</v>
      </c>
    </row>
    <row r="15" spans="1:12" x14ac:dyDescent="0.25">
      <c r="A15" s="4">
        <v>45912.795716099536</v>
      </c>
      <c r="B15" s="5" t="s">
        <v>29</v>
      </c>
      <c r="C15" s="5" t="s">
        <v>30</v>
      </c>
      <c r="D15" s="5" t="s">
        <v>34</v>
      </c>
      <c r="E15" s="5" t="s">
        <v>32</v>
      </c>
      <c r="F15" s="5" t="s">
        <v>39</v>
      </c>
      <c r="G15" s="20">
        <f>Form_Responses[[#This Row],[Perceived Usefulness]]</f>
        <v>3.75</v>
      </c>
      <c r="H15" s="23">
        <f>Form_Responses[[#This Row],[Perceived Ease of Use]]</f>
        <v>4</v>
      </c>
      <c r="I15" s="23">
        <f>Form_Responses[[#This Row],[Attitude]]</f>
        <v>3.5</v>
      </c>
      <c r="J15" s="23">
        <f>Form_Responses[[#This Row],[Perceived Risk]]</f>
        <v>2.75</v>
      </c>
      <c r="K15" s="23">
        <f>Form_Responses[[#This Row],[Perceived Trust]]</f>
        <v>3.75</v>
      </c>
      <c r="L15" s="23">
        <f>Form_Responses[[#This Row],[Intention]]</f>
        <v>3.3333333333333335</v>
      </c>
    </row>
    <row r="16" spans="1:12" x14ac:dyDescent="0.25">
      <c r="A16" s="1">
        <v>45912.881739803241</v>
      </c>
      <c r="B16" s="2" t="s">
        <v>29</v>
      </c>
      <c r="C16" s="2" t="s">
        <v>30</v>
      </c>
      <c r="D16" s="2" t="s">
        <v>34</v>
      </c>
      <c r="E16" s="2" t="s">
        <v>32</v>
      </c>
      <c r="F16" s="2" t="s">
        <v>41</v>
      </c>
      <c r="G16" s="19">
        <f>Form_Responses[[#This Row],[Perceived Usefulness]]</f>
        <v>4</v>
      </c>
      <c r="H16" s="22">
        <f>Form_Responses[[#This Row],[Perceived Ease of Use]]</f>
        <v>4</v>
      </c>
      <c r="I16" s="22">
        <f>Form_Responses[[#This Row],[Attitude]]</f>
        <v>4.25</v>
      </c>
      <c r="J16" s="22">
        <f>Form_Responses[[#This Row],[Perceived Risk]]</f>
        <v>3.5</v>
      </c>
      <c r="K16" s="22">
        <f>Form_Responses[[#This Row],[Perceived Trust]]</f>
        <v>2.5</v>
      </c>
      <c r="L16" s="22">
        <f>Form_Responses[[#This Row],[Intention]]</f>
        <v>4</v>
      </c>
    </row>
    <row r="17" spans="1:12" x14ac:dyDescent="0.25">
      <c r="A17" s="4">
        <v>45912.893564074075</v>
      </c>
      <c r="B17" s="5" t="s">
        <v>29</v>
      </c>
      <c r="C17" s="5" t="s">
        <v>35</v>
      </c>
      <c r="D17" s="5" t="s">
        <v>34</v>
      </c>
      <c r="E17" s="5" t="s">
        <v>32</v>
      </c>
      <c r="F17" s="5" t="s">
        <v>41</v>
      </c>
      <c r="G17" s="20">
        <f>Form_Responses[[#This Row],[Perceived Usefulness]]</f>
        <v>3.75</v>
      </c>
      <c r="H17" s="23">
        <f>Form_Responses[[#This Row],[Perceived Ease of Use]]</f>
        <v>3.75</v>
      </c>
      <c r="I17" s="23">
        <f>Form_Responses[[#This Row],[Attitude]]</f>
        <v>4</v>
      </c>
      <c r="J17" s="23">
        <f>Form_Responses[[#This Row],[Perceived Risk]]</f>
        <v>2.5</v>
      </c>
      <c r="K17" s="23">
        <f>Form_Responses[[#This Row],[Perceived Trust]]</f>
        <v>3.5</v>
      </c>
      <c r="L17" s="23">
        <f>Form_Responses[[#This Row],[Intention]]</f>
        <v>4</v>
      </c>
    </row>
    <row r="18" spans="1:12" x14ac:dyDescent="0.25">
      <c r="A18" s="1">
        <v>45912.949012210651</v>
      </c>
      <c r="B18" s="2" t="s">
        <v>38</v>
      </c>
      <c r="C18" s="2" t="s">
        <v>35</v>
      </c>
      <c r="D18" s="2" t="s">
        <v>34</v>
      </c>
      <c r="E18" s="2" t="s">
        <v>32</v>
      </c>
      <c r="F18" s="2" t="s">
        <v>39</v>
      </c>
      <c r="G18" s="19">
        <f>Form_Responses[[#This Row],[Perceived Usefulness]]</f>
        <v>3.5</v>
      </c>
      <c r="H18" s="22">
        <f>Form_Responses[[#This Row],[Perceived Ease of Use]]</f>
        <v>3</v>
      </c>
      <c r="I18" s="22">
        <f>Form_Responses[[#This Row],[Attitude]]</f>
        <v>4</v>
      </c>
      <c r="J18" s="22">
        <f>Form_Responses[[#This Row],[Perceived Risk]]</f>
        <v>3</v>
      </c>
      <c r="K18" s="22">
        <f>Form_Responses[[#This Row],[Perceived Trust]]</f>
        <v>2.25</v>
      </c>
      <c r="L18" s="22">
        <f>Form_Responses[[#This Row],[Intention]]</f>
        <v>3.6666666666666665</v>
      </c>
    </row>
    <row r="19" spans="1:12" x14ac:dyDescent="0.25">
      <c r="A19" s="4">
        <v>45912.975140578703</v>
      </c>
      <c r="B19" s="5" t="s">
        <v>29</v>
      </c>
      <c r="C19" s="5" t="s">
        <v>35</v>
      </c>
      <c r="D19" s="5" t="s">
        <v>34</v>
      </c>
      <c r="E19" s="5" t="s">
        <v>32</v>
      </c>
      <c r="F19" s="5" t="s">
        <v>33</v>
      </c>
      <c r="G19" s="20">
        <f>Form_Responses[[#This Row],[Perceived Usefulness]]</f>
        <v>3.75</v>
      </c>
      <c r="H19" s="23">
        <f>Form_Responses[[#This Row],[Perceived Ease of Use]]</f>
        <v>2.75</v>
      </c>
      <c r="I19" s="23">
        <f>Form_Responses[[#This Row],[Attitude]]</f>
        <v>3</v>
      </c>
      <c r="J19" s="23">
        <f>Form_Responses[[#This Row],[Perceived Risk]]</f>
        <v>4</v>
      </c>
      <c r="K19" s="23">
        <f>Form_Responses[[#This Row],[Perceived Trust]]</f>
        <v>2.25</v>
      </c>
      <c r="L19" s="23">
        <f>Form_Responses[[#This Row],[Intention]]</f>
        <v>3</v>
      </c>
    </row>
    <row r="20" spans="1:12" x14ac:dyDescent="0.25">
      <c r="A20" s="1">
        <v>45912.98552530093</v>
      </c>
      <c r="B20" s="2" t="s">
        <v>29</v>
      </c>
      <c r="C20" s="2" t="s">
        <v>30</v>
      </c>
      <c r="D20" s="2" t="s">
        <v>34</v>
      </c>
      <c r="E20" s="2" t="s">
        <v>32</v>
      </c>
      <c r="F20" s="2" t="s">
        <v>33</v>
      </c>
      <c r="G20" s="19">
        <f>Form_Responses[[#This Row],[Perceived Usefulness]]</f>
        <v>3.75</v>
      </c>
      <c r="H20" s="22">
        <f>Form_Responses[[#This Row],[Perceived Ease of Use]]</f>
        <v>4.25</v>
      </c>
      <c r="I20" s="22">
        <f>Form_Responses[[#This Row],[Attitude]]</f>
        <v>5</v>
      </c>
      <c r="J20" s="22">
        <f>Form_Responses[[#This Row],[Perceived Risk]]</f>
        <v>2</v>
      </c>
      <c r="K20" s="22">
        <f>Form_Responses[[#This Row],[Perceived Trust]]</f>
        <v>3</v>
      </c>
      <c r="L20" s="22">
        <f>Form_Responses[[#This Row],[Intention]]</f>
        <v>5</v>
      </c>
    </row>
    <row r="21" spans="1:12" x14ac:dyDescent="0.25">
      <c r="A21" s="4">
        <v>45913.337737303242</v>
      </c>
      <c r="B21" s="5" t="s">
        <v>38</v>
      </c>
      <c r="C21" s="5" t="s">
        <v>30</v>
      </c>
      <c r="D21" s="5" t="s">
        <v>31</v>
      </c>
      <c r="E21" s="5" t="s">
        <v>32</v>
      </c>
      <c r="F21" s="5" t="s">
        <v>33</v>
      </c>
      <c r="G21" s="20">
        <f>Form_Responses[[#This Row],[Perceived Usefulness]]</f>
        <v>4</v>
      </c>
      <c r="H21" s="23">
        <f>Form_Responses[[#This Row],[Perceived Ease of Use]]</f>
        <v>3.75</v>
      </c>
      <c r="I21" s="23">
        <f>Form_Responses[[#This Row],[Attitude]]</f>
        <v>3.75</v>
      </c>
      <c r="J21" s="23">
        <f>Form_Responses[[#This Row],[Perceived Risk]]</f>
        <v>3.75</v>
      </c>
      <c r="K21" s="23">
        <f>Form_Responses[[#This Row],[Perceived Trust]]</f>
        <v>2.75</v>
      </c>
      <c r="L21" s="23">
        <f>Form_Responses[[#This Row],[Intention]]</f>
        <v>4</v>
      </c>
    </row>
    <row r="22" spans="1:12" x14ac:dyDescent="0.25">
      <c r="A22" s="1">
        <v>45913.443233761573</v>
      </c>
      <c r="B22" s="2" t="s">
        <v>29</v>
      </c>
      <c r="C22" s="2" t="s">
        <v>35</v>
      </c>
      <c r="D22" s="2" t="s">
        <v>34</v>
      </c>
      <c r="E22" s="2" t="s">
        <v>32</v>
      </c>
      <c r="F22" s="2" t="s">
        <v>39</v>
      </c>
      <c r="G22" s="19">
        <f>Form_Responses[[#This Row],[Perceived Usefulness]]</f>
        <v>4</v>
      </c>
      <c r="H22" s="22">
        <f>Form_Responses[[#This Row],[Perceived Ease of Use]]</f>
        <v>3.25</v>
      </c>
      <c r="I22" s="22">
        <f>Form_Responses[[#This Row],[Attitude]]</f>
        <v>3.75</v>
      </c>
      <c r="J22" s="22">
        <f>Form_Responses[[#This Row],[Perceived Risk]]</f>
        <v>2.5</v>
      </c>
      <c r="K22" s="22">
        <f>Form_Responses[[#This Row],[Perceived Trust]]</f>
        <v>4</v>
      </c>
      <c r="L22" s="22">
        <f>Form_Responses[[#This Row],[Intention]]</f>
        <v>4</v>
      </c>
    </row>
    <row r="23" spans="1:12" x14ac:dyDescent="0.25">
      <c r="A23" s="4">
        <v>45913.512776643518</v>
      </c>
      <c r="B23" s="5" t="s">
        <v>29</v>
      </c>
      <c r="C23" s="5" t="s">
        <v>35</v>
      </c>
      <c r="D23" s="5" t="s">
        <v>34</v>
      </c>
      <c r="E23" s="5" t="s">
        <v>32</v>
      </c>
      <c r="F23" s="5" t="s">
        <v>36</v>
      </c>
      <c r="G23" s="20">
        <f>Form_Responses[[#This Row],[Perceived Usefulness]]</f>
        <v>5</v>
      </c>
      <c r="H23" s="23">
        <f>Form_Responses[[#This Row],[Perceived Ease of Use]]</f>
        <v>5</v>
      </c>
      <c r="I23" s="23">
        <f>Form_Responses[[#This Row],[Attitude]]</f>
        <v>5</v>
      </c>
      <c r="J23" s="23">
        <f>Form_Responses[[#This Row],[Perceived Risk]]</f>
        <v>1.5</v>
      </c>
      <c r="K23" s="23">
        <f>Form_Responses[[#This Row],[Perceived Trust]]</f>
        <v>4.5</v>
      </c>
      <c r="L23" s="23">
        <f>Form_Responses[[#This Row],[Intention]]</f>
        <v>5</v>
      </c>
    </row>
    <row r="24" spans="1:12" x14ac:dyDescent="0.25">
      <c r="A24" s="1">
        <v>45913.526280300925</v>
      </c>
      <c r="B24" s="2" t="s">
        <v>38</v>
      </c>
      <c r="C24" s="2" t="s">
        <v>42</v>
      </c>
      <c r="D24" s="2" t="s">
        <v>43</v>
      </c>
      <c r="E24" s="2" t="s">
        <v>40</v>
      </c>
      <c r="F24" s="2" t="s">
        <v>33</v>
      </c>
      <c r="G24" s="19">
        <f>Form_Responses[[#This Row],[Perceived Usefulness]]</f>
        <v>4.75</v>
      </c>
      <c r="H24" s="22">
        <f>Form_Responses[[#This Row],[Perceived Ease of Use]]</f>
        <v>5</v>
      </c>
      <c r="I24" s="22">
        <f>Form_Responses[[#This Row],[Attitude]]</f>
        <v>5</v>
      </c>
      <c r="J24" s="22">
        <f>Form_Responses[[#This Row],[Perceived Risk]]</f>
        <v>4</v>
      </c>
      <c r="K24" s="22">
        <f>Form_Responses[[#This Row],[Perceived Trust]]</f>
        <v>2.5</v>
      </c>
      <c r="L24" s="22">
        <f>Form_Responses[[#This Row],[Intention]]</f>
        <v>2</v>
      </c>
    </row>
    <row r="25" spans="1:12" x14ac:dyDescent="0.25">
      <c r="A25" s="4">
        <v>45913.530313645839</v>
      </c>
      <c r="B25" s="5" t="s">
        <v>38</v>
      </c>
      <c r="C25" s="5" t="s">
        <v>35</v>
      </c>
      <c r="D25" s="5" t="s">
        <v>34</v>
      </c>
      <c r="E25" s="5" t="s">
        <v>32</v>
      </c>
      <c r="F25" s="5" t="s">
        <v>36</v>
      </c>
      <c r="G25" s="20">
        <f>Form_Responses[[#This Row],[Perceived Usefulness]]</f>
        <v>4.5</v>
      </c>
      <c r="H25" s="23">
        <f>Form_Responses[[#This Row],[Perceived Ease of Use]]</f>
        <v>4</v>
      </c>
      <c r="I25" s="23">
        <f>Form_Responses[[#This Row],[Attitude]]</f>
        <v>3.75</v>
      </c>
      <c r="J25" s="23">
        <f>Form_Responses[[#This Row],[Perceived Risk]]</f>
        <v>3.5</v>
      </c>
      <c r="K25" s="23">
        <f>Form_Responses[[#This Row],[Perceived Trust]]</f>
        <v>3</v>
      </c>
      <c r="L25" s="23">
        <f>Form_Responses[[#This Row],[Intention]]</f>
        <v>2.6666666666666665</v>
      </c>
    </row>
    <row r="26" spans="1:12" x14ac:dyDescent="0.25">
      <c r="A26" s="1">
        <v>45913.53309420139</v>
      </c>
      <c r="B26" s="2" t="s">
        <v>29</v>
      </c>
      <c r="C26" s="2" t="s">
        <v>35</v>
      </c>
      <c r="D26" s="2" t="s">
        <v>34</v>
      </c>
      <c r="E26" s="2" t="s">
        <v>40</v>
      </c>
      <c r="F26" s="2" t="s">
        <v>41</v>
      </c>
      <c r="G26" s="19">
        <f>Form_Responses[[#This Row],[Perceived Usefulness]]</f>
        <v>4</v>
      </c>
      <c r="H26" s="22">
        <f>Form_Responses[[#This Row],[Perceived Ease of Use]]</f>
        <v>2.25</v>
      </c>
      <c r="I26" s="22">
        <f>Form_Responses[[#This Row],[Attitude]]</f>
        <v>2.75</v>
      </c>
      <c r="J26" s="22">
        <f>Form_Responses[[#This Row],[Perceived Risk]]</f>
        <v>3.25</v>
      </c>
      <c r="K26" s="22">
        <f>Form_Responses[[#This Row],[Perceived Trust]]</f>
        <v>2.5</v>
      </c>
      <c r="L26" s="22">
        <f>Form_Responses[[#This Row],[Intention]]</f>
        <v>2.3333333333333335</v>
      </c>
    </row>
    <row r="27" spans="1:12" x14ac:dyDescent="0.25">
      <c r="A27" s="4">
        <v>45913.546227696759</v>
      </c>
      <c r="B27" s="5" t="s">
        <v>38</v>
      </c>
      <c r="C27" s="5" t="s">
        <v>35</v>
      </c>
      <c r="D27" s="5" t="s">
        <v>34</v>
      </c>
      <c r="E27" s="5" t="s">
        <v>32</v>
      </c>
      <c r="F27" s="5" t="s">
        <v>39</v>
      </c>
      <c r="G27" s="20">
        <f>Form_Responses[[#This Row],[Perceived Usefulness]]</f>
        <v>4.25</v>
      </c>
      <c r="H27" s="23">
        <f>Form_Responses[[#This Row],[Perceived Ease of Use]]</f>
        <v>3.25</v>
      </c>
      <c r="I27" s="23">
        <f>Form_Responses[[#This Row],[Attitude]]</f>
        <v>4.5</v>
      </c>
      <c r="J27" s="23">
        <f>Form_Responses[[#This Row],[Perceived Risk]]</f>
        <v>4</v>
      </c>
      <c r="K27" s="23">
        <f>Form_Responses[[#This Row],[Perceived Trust]]</f>
        <v>3.75</v>
      </c>
      <c r="L27" s="23">
        <f>Form_Responses[[#This Row],[Intention]]</f>
        <v>4</v>
      </c>
    </row>
    <row r="28" spans="1:12" x14ac:dyDescent="0.25">
      <c r="A28" s="1">
        <v>45913.628590868058</v>
      </c>
      <c r="B28" s="2" t="s">
        <v>38</v>
      </c>
      <c r="C28" s="2" t="s">
        <v>35</v>
      </c>
      <c r="D28" s="2" t="s">
        <v>34</v>
      </c>
      <c r="E28" s="2" t="s">
        <v>32</v>
      </c>
      <c r="F28" s="2" t="s">
        <v>39</v>
      </c>
      <c r="G28" s="19">
        <f>Form_Responses[[#This Row],[Perceived Usefulness]]</f>
        <v>3.75</v>
      </c>
      <c r="H28" s="22">
        <f>Form_Responses[[#This Row],[Perceived Ease of Use]]</f>
        <v>3.5</v>
      </c>
      <c r="I28" s="22">
        <f>Form_Responses[[#This Row],[Attitude]]</f>
        <v>4.25</v>
      </c>
      <c r="J28" s="22">
        <f>Form_Responses[[#This Row],[Perceived Risk]]</f>
        <v>3.25</v>
      </c>
      <c r="K28" s="22">
        <f>Form_Responses[[#This Row],[Perceived Trust]]</f>
        <v>3.25</v>
      </c>
      <c r="L28" s="22">
        <f>Form_Responses[[#This Row],[Intention]]</f>
        <v>4.333333333333333</v>
      </c>
    </row>
    <row r="29" spans="1:12" x14ac:dyDescent="0.25">
      <c r="A29" s="4">
        <v>45913.710991666667</v>
      </c>
      <c r="B29" s="5" t="s">
        <v>38</v>
      </c>
      <c r="C29" s="5" t="s">
        <v>35</v>
      </c>
      <c r="D29" s="5" t="s">
        <v>34</v>
      </c>
      <c r="E29" s="5" t="s">
        <v>32</v>
      </c>
      <c r="F29" s="5" t="s">
        <v>39</v>
      </c>
      <c r="G29" s="20">
        <f>Form_Responses[[#This Row],[Perceived Usefulness]]</f>
        <v>4.5</v>
      </c>
      <c r="H29" s="23">
        <f>Form_Responses[[#This Row],[Perceived Ease of Use]]</f>
        <v>4.25</v>
      </c>
      <c r="I29" s="23">
        <f>Form_Responses[[#This Row],[Attitude]]</f>
        <v>3.75</v>
      </c>
      <c r="J29" s="23">
        <f>Form_Responses[[#This Row],[Perceived Risk]]</f>
        <v>3</v>
      </c>
      <c r="K29" s="23">
        <f>Form_Responses[[#This Row],[Perceived Trust]]</f>
        <v>4.25</v>
      </c>
      <c r="L29" s="23">
        <f>Form_Responses[[#This Row],[Intention]]</f>
        <v>4</v>
      </c>
    </row>
    <row r="30" spans="1:12" x14ac:dyDescent="0.25">
      <c r="A30" s="1">
        <v>45913.763327766203</v>
      </c>
      <c r="B30" s="2" t="s">
        <v>38</v>
      </c>
      <c r="C30" s="2" t="s">
        <v>35</v>
      </c>
      <c r="D30" s="2" t="s">
        <v>34</v>
      </c>
      <c r="E30" s="2" t="s">
        <v>32</v>
      </c>
      <c r="F30" s="2" t="s">
        <v>41</v>
      </c>
      <c r="G30" s="19">
        <f>Form_Responses[[#This Row],[Perceived Usefulness]]</f>
        <v>4</v>
      </c>
      <c r="H30" s="22">
        <f>Form_Responses[[#This Row],[Perceived Ease of Use]]</f>
        <v>4</v>
      </c>
      <c r="I30" s="22">
        <f>Form_Responses[[#This Row],[Attitude]]</f>
        <v>4</v>
      </c>
      <c r="J30" s="22">
        <f>Form_Responses[[#This Row],[Perceived Risk]]</f>
        <v>2</v>
      </c>
      <c r="K30" s="22">
        <f>Form_Responses[[#This Row],[Perceived Trust]]</f>
        <v>3.5</v>
      </c>
      <c r="L30" s="22">
        <f>Form_Responses[[#This Row],[Intention]]</f>
        <v>3</v>
      </c>
    </row>
    <row r="31" spans="1:12" x14ac:dyDescent="0.25">
      <c r="A31" s="4">
        <v>45913.930499918977</v>
      </c>
      <c r="B31" s="5" t="s">
        <v>38</v>
      </c>
      <c r="C31" s="5" t="s">
        <v>35</v>
      </c>
      <c r="D31" s="5" t="s">
        <v>34</v>
      </c>
      <c r="E31" s="5" t="s">
        <v>32</v>
      </c>
      <c r="F31" s="5" t="s">
        <v>39</v>
      </c>
      <c r="G31" s="20">
        <f>Form_Responses[[#This Row],[Perceived Usefulness]]</f>
        <v>3.25</v>
      </c>
      <c r="H31" s="23">
        <f>Form_Responses[[#This Row],[Perceived Ease of Use]]</f>
        <v>3</v>
      </c>
      <c r="I31" s="23">
        <f>Form_Responses[[#This Row],[Attitude]]</f>
        <v>3.25</v>
      </c>
      <c r="J31" s="23">
        <f>Form_Responses[[#This Row],[Perceived Risk]]</f>
        <v>4</v>
      </c>
      <c r="K31" s="23">
        <f>Form_Responses[[#This Row],[Perceived Trust]]</f>
        <v>3.25</v>
      </c>
      <c r="L31" s="23">
        <f>Form_Responses[[#This Row],[Intention]]</f>
        <v>3.3333333333333335</v>
      </c>
    </row>
    <row r="32" spans="1:12" x14ac:dyDescent="0.25">
      <c r="A32" s="1">
        <v>45914.359703229165</v>
      </c>
      <c r="B32" s="2" t="s">
        <v>38</v>
      </c>
      <c r="C32" s="2" t="s">
        <v>35</v>
      </c>
      <c r="D32" s="2" t="s">
        <v>34</v>
      </c>
      <c r="E32" s="2" t="s">
        <v>32</v>
      </c>
      <c r="F32" s="2" t="s">
        <v>36</v>
      </c>
      <c r="G32" s="19">
        <f>Form_Responses[[#This Row],[Perceived Usefulness]]</f>
        <v>4.25</v>
      </c>
      <c r="H32" s="22">
        <f>Form_Responses[[#This Row],[Perceived Ease of Use]]</f>
        <v>3.75</v>
      </c>
      <c r="I32" s="22">
        <f>Form_Responses[[#This Row],[Attitude]]</f>
        <v>4.25</v>
      </c>
      <c r="J32" s="22">
        <f>Form_Responses[[#This Row],[Perceived Risk]]</f>
        <v>4.5</v>
      </c>
      <c r="K32" s="22">
        <f>Form_Responses[[#This Row],[Perceived Trust]]</f>
        <v>3</v>
      </c>
      <c r="L32" s="22">
        <f>Form_Responses[[#This Row],[Intention]]</f>
        <v>4.333333333333333</v>
      </c>
    </row>
    <row r="33" spans="1:12" x14ac:dyDescent="0.25">
      <c r="A33" s="4">
        <v>45914.689681041666</v>
      </c>
      <c r="B33" s="5" t="s">
        <v>29</v>
      </c>
      <c r="C33" s="5" t="s">
        <v>35</v>
      </c>
      <c r="D33" s="5" t="s">
        <v>34</v>
      </c>
      <c r="E33" s="5" t="s">
        <v>32</v>
      </c>
      <c r="F33" s="5" t="s">
        <v>36</v>
      </c>
      <c r="G33" s="20">
        <f>Form_Responses[[#This Row],[Perceived Usefulness]]</f>
        <v>3</v>
      </c>
      <c r="H33" s="23">
        <f>Form_Responses[[#This Row],[Perceived Ease of Use]]</f>
        <v>3</v>
      </c>
      <c r="I33" s="23">
        <f>Form_Responses[[#This Row],[Attitude]]</f>
        <v>3</v>
      </c>
      <c r="J33" s="23">
        <f>Form_Responses[[#This Row],[Perceived Risk]]</f>
        <v>3</v>
      </c>
      <c r="K33" s="23">
        <f>Form_Responses[[#This Row],[Perceived Trust]]</f>
        <v>3</v>
      </c>
      <c r="L33" s="23">
        <f>Form_Responses[[#This Row],[Intention]]</f>
        <v>3</v>
      </c>
    </row>
    <row r="34" spans="1:12" x14ac:dyDescent="0.25">
      <c r="A34" s="1">
        <v>45916.371663634258</v>
      </c>
      <c r="B34" s="2" t="s">
        <v>29</v>
      </c>
      <c r="C34" s="2" t="s">
        <v>30</v>
      </c>
      <c r="D34" s="2" t="s">
        <v>43</v>
      </c>
      <c r="E34" s="2" t="s">
        <v>32</v>
      </c>
      <c r="F34" s="2" t="s">
        <v>39</v>
      </c>
      <c r="G34" s="19">
        <f>Form_Responses[[#This Row],[Perceived Usefulness]]</f>
        <v>4.75</v>
      </c>
      <c r="H34" s="22">
        <f>Form_Responses[[#This Row],[Perceived Ease of Use]]</f>
        <v>2.75</v>
      </c>
      <c r="I34" s="22">
        <f>Form_Responses[[#This Row],[Attitude]]</f>
        <v>3.75</v>
      </c>
      <c r="J34" s="22">
        <f>Form_Responses[[#This Row],[Perceived Risk]]</f>
        <v>4.75</v>
      </c>
      <c r="K34" s="22">
        <f>Form_Responses[[#This Row],[Perceived Trust]]</f>
        <v>1.25</v>
      </c>
      <c r="L34" s="22">
        <f>Form_Responses[[#This Row],[Intention]]</f>
        <v>2.3333333333333335</v>
      </c>
    </row>
    <row r="35" spans="1:12" x14ac:dyDescent="0.25">
      <c r="A35" s="7">
        <v>45920.609714791666</v>
      </c>
      <c r="B35" s="8" t="s">
        <v>29</v>
      </c>
      <c r="C35" s="8" t="s">
        <v>30</v>
      </c>
      <c r="D35" s="8" t="s">
        <v>34</v>
      </c>
      <c r="E35" s="8" t="s">
        <v>32</v>
      </c>
      <c r="F35" s="8" t="s">
        <v>37</v>
      </c>
      <c r="G35" s="21">
        <f>Form_Responses[[#This Row],[Perceived Usefulness]]</f>
        <v>3.75</v>
      </c>
      <c r="H35" s="24">
        <f>Form_Responses[[#This Row],[Perceived Ease of Use]]</f>
        <v>2.75</v>
      </c>
      <c r="I35" s="24">
        <f>Form_Responses[[#This Row],[Attitude]]</f>
        <v>4</v>
      </c>
      <c r="J35" s="24">
        <f>Form_Responses[[#This Row],[Perceived Risk]]</f>
        <v>3.75</v>
      </c>
      <c r="K35" s="24">
        <f>Form_Responses[[#This Row],[Perceived Trust]]</f>
        <v>4</v>
      </c>
      <c r="L35" s="24">
        <f>Form_Responses[[#This Row],[Intention]]</f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35"/>
  <sheetViews>
    <sheetView topLeftCell="G1" zoomScale="70" zoomScaleNormal="70" workbookViewId="0">
      <pane ySplit="1" topLeftCell="A2" activePane="bottomLeft" state="frozen"/>
      <selection pane="bottomLeft" activeCell="AV36" sqref="AV36"/>
    </sheetView>
  </sheetViews>
  <sheetFormatPr defaultColWidth="12.6640625" defaultRowHeight="15.75" customHeight="1" x14ac:dyDescent="0.25"/>
  <cols>
    <col min="1" max="4" width="18.88671875" customWidth="1"/>
    <col min="5" max="5" width="34.109375" customWidth="1"/>
    <col min="6" max="6" width="37.44140625" customWidth="1"/>
    <col min="7" max="7" width="37.6640625" customWidth="1"/>
    <col min="8" max="8" width="24" customWidth="1"/>
    <col min="9" max="9" width="30.109375" customWidth="1"/>
    <col min="10" max="10" width="33.77734375" customWidth="1"/>
    <col min="11" max="11" width="33.77734375" style="13" customWidth="1"/>
    <col min="12" max="12" width="36.6640625" customWidth="1"/>
    <col min="13" max="13" width="29.109375" customWidth="1"/>
    <col min="14" max="15" width="37.6640625" customWidth="1"/>
    <col min="16" max="16" width="37.6640625" style="13" customWidth="1"/>
    <col min="17" max="17" width="36.21875" customWidth="1"/>
    <col min="18" max="18" width="35.77734375" customWidth="1"/>
    <col min="19" max="20" width="37.6640625" customWidth="1"/>
    <col min="21" max="21" width="37.6640625" style="13" customWidth="1"/>
    <col min="22" max="25" width="37.6640625" customWidth="1"/>
    <col min="26" max="26" width="37.6640625" style="13" customWidth="1"/>
    <col min="27" max="27" width="33.21875" customWidth="1"/>
    <col min="28" max="30" width="37.6640625" customWidth="1"/>
    <col min="31" max="31" width="37.6640625" style="13" customWidth="1"/>
    <col min="32" max="32" width="30.77734375" customWidth="1"/>
    <col min="33" max="34" width="37.6640625" customWidth="1"/>
    <col min="35" max="35" width="18.88671875" style="13" customWidth="1"/>
    <col min="36" max="40" width="18.88671875" customWidth="1"/>
  </cols>
  <sheetData>
    <row r="1" spans="1:35" s="13" customFormat="1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44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45</v>
      </c>
      <c r="Q1" s="11" t="s">
        <v>14</v>
      </c>
      <c r="R1" s="11" t="s">
        <v>15</v>
      </c>
      <c r="S1" s="11" t="s">
        <v>16</v>
      </c>
      <c r="T1" s="11" t="s">
        <v>17</v>
      </c>
      <c r="U1" s="11" t="s">
        <v>46</v>
      </c>
      <c r="V1" s="11" t="s">
        <v>18</v>
      </c>
      <c r="W1" s="11" t="s">
        <v>19</v>
      </c>
      <c r="X1" s="11" t="s">
        <v>20</v>
      </c>
      <c r="Y1" s="11" t="s">
        <v>21</v>
      </c>
      <c r="Z1" s="11" t="s">
        <v>47</v>
      </c>
      <c r="AA1" s="11" t="s">
        <v>22</v>
      </c>
      <c r="AB1" s="11" t="s">
        <v>23</v>
      </c>
      <c r="AC1" s="11" t="s">
        <v>24</v>
      </c>
      <c r="AD1" s="11" t="s">
        <v>25</v>
      </c>
      <c r="AE1" s="11" t="s">
        <v>48</v>
      </c>
      <c r="AF1" s="11" t="s">
        <v>26</v>
      </c>
      <c r="AG1" s="11" t="s">
        <v>27</v>
      </c>
      <c r="AH1" s="12" t="s">
        <v>28</v>
      </c>
      <c r="AI1" s="17" t="s">
        <v>49</v>
      </c>
    </row>
    <row r="2" spans="1:35" x14ac:dyDescent="0.25">
      <c r="A2" s="1">
        <v>45912.594800405088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>
        <v>3</v>
      </c>
      <c r="H2" s="2">
        <v>4</v>
      </c>
      <c r="I2" s="2">
        <v>4</v>
      </c>
      <c r="J2" s="2">
        <v>2</v>
      </c>
      <c r="K2" s="14">
        <f>AVERAGE(Form_Responses[[#This Row],[Using AI in banking can meet my service needs.]:[Overall, I find AI in banking to be useful.]])</f>
        <v>3.25</v>
      </c>
      <c r="L2" s="2">
        <v>4</v>
      </c>
      <c r="M2" s="2">
        <v>4</v>
      </c>
      <c r="N2" s="2">
        <v>2</v>
      </c>
      <c r="O2" s="2">
        <v>2</v>
      </c>
      <c r="P2" s="14">
        <f>AVERAGE(Form_Responses[[#This Row],[Learning to use AI in banking is easy to me.]:[Interacting with AI in banking requires minimal mental effort from me. ]])</f>
        <v>3</v>
      </c>
      <c r="Q2" s="2">
        <v>5</v>
      </c>
      <c r="R2" s="2">
        <v>5</v>
      </c>
      <c r="S2" s="2">
        <v>5</v>
      </c>
      <c r="T2" s="2">
        <v>5</v>
      </c>
      <c r="U2" s="14">
        <f>AVERAGE(Form_Responses[[#This Row],[I believe using AI in banking is a good idea.]:[I am interested in the application of AI in Banking.]])</f>
        <v>5</v>
      </c>
      <c r="V2" s="2">
        <v>5</v>
      </c>
      <c r="W2" s="2">
        <v>5</v>
      </c>
      <c r="X2" s="2">
        <v>3</v>
      </c>
      <c r="Y2" s="2">
        <v>3</v>
      </c>
      <c r="Z2" s="14">
        <f>AVERAGE(Form_Responses[[#This Row],[I believe that money is easy to be stolen by using AI in banking.]:[AI in banking may not perform well and could create issues with my bank account.]])</f>
        <v>4</v>
      </c>
      <c r="AA2" s="2">
        <v>1</v>
      </c>
      <c r="AB2" s="2">
        <v>2</v>
      </c>
      <c r="AC2" s="2">
        <v>1</v>
      </c>
      <c r="AD2" s="2">
        <v>1</v>
      </c>
      <c r="AE2" s="14">
        <f>AVERAGE(Form_Responses[[#This Row],[I believe that banking AI is trustworthy.]:[I trust banking AI to protect my personal information.]])</f>
        <v>1.25</v>
      </c>
      <c r="AF2" s="2">
        <v>4</v>
      </c>
      <c r="AG2" s="2">
        <v>5</v>
      </c>
      <c r="AH2" s="3">
        <v>4</v>
      </c>
      <c r="AI2" s="13">
        <f>AVERAGE(Form_Responses[[#This Row],[I would like to use banking AI soon.]:[I intend to use AI banking in my banking process. ]])</f>
        <v>4.333333333333333</v>
      </c>
    </row>
    <row r="3" spans="1:35" x14ac:dyDescent="0.25">
      <c r="A3" s="4">
        <v>45912.601103067129</v>
      </c>
      <c r="B3" s="5" t="s">
        <v>29</v>
      </c>
      <c r="C3" s="5" t="s">
        <v>30</v>
      </c>
      <c r="D3" s="5" t="s">
        <v>34</v>
      </c>
      <c r="E3" s="5" t="s">
        <v>32</v>
      </c>
      <c r="F3" s="5" t="s">
        <v>33</v>
      </c>
      <c r="G3" s="5">
        <v>5</v>
      </c>
      <c r="H3" s="5">
        <v>5</v>
      </c>
      <c r="I3" s="5">
        <v>5</v>
      </c>
      <c r="J3" s="5">
        <v>5</v>
      </c>
      <c r="K3" s="15">
        <f>AVERAGE(Form_Responses[[#This Row],[Using AI in banking can meet my service needs.]:[Overall, I find AI in banking to be useful.]])</f>
        <v>5</v>
      </c>
      <c r="L3" s="5">
        <v>5</v>
      </c>
      <c r="M3" s="5">
        <v>5</v>
      </c>
      <c r="N3" s="5">
        <v>5</v>
      </c>
      <c r="O3" s="5">
        <v>4</v>
      </c>
      <c r="P3" s="15">
        <f>AVERAGE(Form_Responses[[#This Row],[Learning to use AI in banking is easy to me.]:[Interacting with AI in banking requires minimal mental effort from me. ]])</f>
        <v>4.75</v>
      </c>
      <c r="Q3" s="5">
        <v>5</v>
      </c>
      <c r="R3" s="5">
        <v>5</v>
      </c>
      <c r="S3" s="5">
        <v>5</v>
      </c>
      <c r="T3" s="5">
        <v>4</v>
      </c>
      <c r="U3" s="15">
        <f>AVERAGE(Form_Responses[[#This Row],[I believe using AI in banking is a good idea.]:[I am interested in the application of AI in Banking.]])</f>
        <v>4.75</v>
      </c>
      <c r="V3" s="5">
        <v>4</v>
      </c>
      <c r="W3" s="5">
        <v>3</v>
      </c>
      <c r="X3" s="5">
        <v>4</v>
      </c>
      <c r="Y3" s="5">
        <v>3</v>
      </c>
      <c r="Z3" s="15">
        <f>AVERAGE(Form_Responses[[#This Row],[I believe that money is easy to be stolen by using AI in banking.]:[AI in banking may not perform well and could create issues with my bank account.]])</f>
        <v>3.5</v>
      </c>
      <c r="AA3" s="5">
        <v>3</v>
      </c>
      <c r="AB3" s="5">
        <v>4</v>
      </c>
      <c r="AC3" s="5">
        <v>3</v>
      </c>
      <c r="AD3" s="5">
        <v>3</v>
      </c>
      <c r="AE3" s="15">
        <f>AVERAGE(Form_Responses[[#This Row],[I believe that banking AI is trustworthy.]:[I trust banking AI to protect my personal information.]])</f>
        <v>3.25</v>
      </c>
      <c r="AF3" s="5">
        <v>4</v>
      </c>
      <c r="AG3" s="5">
        <v>4</v>
      </c>
      <c r="AH3" s="6">
        <v>3</v>
      </c>
      <c r="AI3" s="13">
        <f>AVERAGE(Form_Responses[[#This Row],[I would like to use banking AI soon.]:[I intend to use AI banking in my banking process. ]])</f>
        <v>3.6666666666666665</v>
      </c>
    </row>
    <row r="4" spans="1:35" x14ac:dyDescent="0.25">
      <c r="A4" s="1">
        <v>45912.604781944443</v>
      </c>
      <c r="B4" s="2" t="s">
        <v>29</v>
      </c>
      <c r="C4" s="2" t="s">
        <v>35</v>
      </c>
      <c r="D4" s="2" t="s">
        <v>34</v>
      </c>
      <c r="E4" s="2" t="s">
        <v>32</v>
      </c>
      <c r="F4" s="2" t="s">
        <v>36</v>
      </c>
      <c r="G4" s="2">
        <v>4</v>
      </c>
      <c r="H4" s="2">
        <v>5</v>
      </c>
      <c r="I4" s="2">
        <v>4</v>
      </c>
      <c r="J4" s="2">
        <v>4</v>
      </c>
      <c r="K4" s="14">
        <f>AVERAGE(Form_Responses[[#This Row],[Using AI in banking can meet my service needs.]:[Overall, I find AI in banking to be useful.]])</f>
        <v>4.25</v>
      </c>
      <c r="L4" s="2">
        <v>5</v>
      </c>
      <c r="M4" s="2">
        <v>4</v>
      </c>
      <c r="N4" s="2">
        <v>5</v>
      </c>
      <c r="O4" s="2">
        <v>4</v>
      </c>
      <c r="P4" s="14">
        <f>AVERAGE(Form_Responses[[#This Row],[Learning to use AI in banking is easy to me.]:[Interacting with AI in banking requires minimal mental effort from me. ]])</f>
        <v>4.5</v>
      </c>
      <c r="Q4" s="2">
        <v>4</v>
      </c>
      <c r="R4" s="2">
        <v>5</v>
      </c>
      <c r="S4" s="2">
        <v>3</v>
      </c>
      <c r="T4" s="2">
        <v>5</v>
      </c>
      <c r="U4" s="14">
        <f>AVERAGE(Form_Responses[[#This Row],[I believe using AI in banking is a good idea.]:[I am interested in the application of AI in Banking.]])</f>
        <v>4.25</v>
      </c>
      <c r="V4" s="2">
        <v>5</v>
      </c>
      <c r="W4" s="2">
        <v>4</v>
      </c>
      <c r="X4" s="2">
        <v>5</v>
      </c>
      <c r="Y4" s="2">
        <v>4</v>
      </c>
      <c r="Z4" s="14">
        <f>AVERAGE(Form_Responses[[#This Row],[I believe that money is easy to be stolen by using AI in banking.]:[AI in banking may not perform well and could create issues with my bank account.]])</f>
        <v>4.5</v>
      </c>
      <c r="AA4" s="2">
        <v>4</v>
      </c>
      <c r="AB4" s="2">
        <v>5</v>
      </c>
      <c r="AC4" s="2">
        <v>5</v>
      </c>
      <c r="AD4" s="2">
        <v>4</v>
      </c>
      <c r="AE4" s="14">
        <f>AVERAGE(Form_Responses[[#This Row],[I believe that banking AI is trustworthy.]:[I trust banking AI to protect my personal information.]])</f>
        <v>4.5</v>
      </c>
      <c r="AF4" s="2">
        <v>4</v>
      </c>
      <c r="AG4" s="2">
        <v>5</v>
      </c>
      <c r="AH4" s="3">
        <v>5</v>
      </c>
      <c r="AI4" s="13">
        <f>AVERAGE(Form_Responses[[#This Row],[I would like to use banking AI soon.]:[I intend to use AI banking in my banking process. ]])</f>
        <v>4.666666666666667</v>
      </c>
    </row>
    <row r="5" spans="1:35" x14ac:dyDescent="0.25">
      <c r="A5" s="4">
        <v>45912.605999027779</v>
      </c>
      <c r="B5" s="5" t="s">
        <v>29</v>
      </c>
      <c r="C5" s="5" t="s">
        <v>35</v>
      </c>
      <c r="D5" s="5" t="s">
        <v>34</v>
      </c>
      <c r="E5" s="5" t="s">
        <v>32</v>
      </c>
      <c r="F5" s="5" t="s">
        <v>37</v>
      </c>
      <c r="G5" s="5">
        <v>5</v>
      </c>
      <c r="H5" s="5">
        <v>5</v>
      </c>
      <c r="I5" s="5">
        <v>5</v>
      </c>
      <c r="J5" s="5">
        <v>5</v>
      </c>
      <c r="K5" s="15">
        <f>AVERAGE(Form_Responses[[#This Row],[Using AI in banking can meet my service needs.]:[Overall, I find AI in banking to be useful.]])</f>
        <v>5</v>
      </c>
      <c r="L5" s="5">
        <v>2</v>
      </c>
      <c r="M5" s="5">
        <v>2</v>
      </c>
      <c r="N5" s="5">
        <v>3</v>
      </c>
      <c r="O5" s="5">
        <v>4</v>
      </c>
      <c r="P5" s="15">
        <f>AVERAGE(Form_Responses[[#This Row],[Learning to use AI in banking is easy to me.]:[Interacting with AI in banking requires minimal mental effort from me. ]])</f>
        <v>2.75</v>
      </c>
      <c r="Q5" s="5">
        <v>5</v>
      </c>
      <c r="R5" s="5">
        <v>5</v>
      </c>
      <c r="S5" s="5">
        <v>5</v>
      </c>
      <c r="T5" s="5">
        <v>5</v>
      </c>
      <c r="U5" s="15">
        <f>AVERAGE(Form_Responses[[#This Row],[I believe using AI in banking is a good idea.]:[I am interested in the application of AI in Banking.]])</f>
        <v>5</v>
      </c>
      <c r="V5" s="5">
        <v>4</v>
      </c>
      <c r="W5" s="5">
        <v>4</v>
      </c>
      <c r="X5" s="5">
        <v>3</v>
      </c>
      <c r="Y5" s="5">
        <v>2</v>
      </c>
      <c r="Z5" s="15">
        <f>AVERAGE(Form_Responses[[#This Row],[I believe that money is easy to be stolen by using AI in banking.]:[AI in banking may not perform well and could create issues with my bank account.]])</f>
        <v>3.25</v>
      </c>
      <c r="AA5" s="5">
        <v>4</v>
      </c>
      <c r="AB5" s="5">
        <v>4</v>
      </c>
      <c r="AC5" s="5">
        <v>4</v>
      </c>
      <c r="AD5" s="5">
        <v>3</v>
      </c>
      <c r="AE5" s="15">
        <f>AVERAGE(Form_Responses[[#This Row],[I believe that banking AI is trustworthy.]:[I trust banking AI to protect my personal information.]])</f>
        <v>3.75</v>
      </c>
      <c r="AF5" s="5">
        <v>5</v>
      </c>
      <c r="AG5" s="5">
        <v>5</v>
      </c>
      <c r="AH5" s="6">
        <v>5</v>
      </c>
      <c r="AI5" s="13">
        <f>AVERAGE(Form_Responses[[#This Row],[I would like to use banking AI soon.]:[I intend to use AI banking in my banking process. ]])</f>
        <v>5</v>
      </c>
    </row>
    <row r="6" spans="1:35" x14ac:dyDescent="0.25">
      <c r="A6" s="1">
        <v>45912.60908086806</v>
      </c>
      <c r="B6" s="2" t="s">
        <v>29</v>
      </c>
      <c r="C6" s="2" t="s">
        <v>30</v>
      </c>
      <c r="D6" s="2" t="s">
        <v>34</v>
      </c>
      <c r="E6" s="2" t="s">
        <v>32</v>
      </c>
      <c r="F6" s="2" t="s">
        <v>37</v>
      </c>
      <c r="G6" s="2">
        <v>4</v>
      </c>
      <c r="H6" s="2">
        <v>4</v>
      </c>
      <c r="I6" s="2">
        <v>4</v>
      </c>
      <c r="J6" s="2">
        <v>5</v>
      </c>
      <c r="K6" s="14">
        <f>AVERAGE(Form_Responses[[#This Row],[Using AI in banking can meet my service needs.]:[Overall, I find AI in banking to be useful.]])</f>
        <v>4.25</v>
      </c>
      <c r="L6" s="2">
        <v>4</v>
      </c>
      <c r="M6" s="2">
        <v>3</v>
      </c>
      <c r="N6" s="2">
        <v>4</v>
      </c>
      <c r="O6" s="2">
        <v>3</v>
      </c>
      <c r="P6" s="14">
        <f>AVERAGE(Form_Responses[[#This Row],[Learning to use AI in banking is easy to me.]:[Interacting with AI in banking requires minimal mental effort from me. ]])</f>
        <v>3.5</v>
      </c>
      <c r="Q6" s="2">
        <v>4</v>
      </c>
      <c r="R6" s="2">
        <v>3</v>
      </c>
      <c r="S6" s="2">
        <v>3</v>
      </c>
      <c r="T6" s="2">
        <v>4</v>
      </c>
      <c r="U6" s="14">
        <f>AVERAGE(Form_Responses[[#This Row],[I believe using AI in banking is a good idea.]:[I am interested in the application of AI in Banking.]])</f>
        <v>3.5</v>
      </c>
      <c r="V6" s="2">
        <v>2</v>
      </c>
      <c r="W6" s="2">
        <v>2</v>
      </c>
      <c r="X6" s="2">
        <v>3</v>
      </c>
      <c r="Y6" s="2">
        <v>3</v>
      </c>
      <c r="Z6" s="14">
        <f>AVERAGE(Form_Responses[[#This Row],[I believe that money is easy to be stolen by using AI in banking.]:[AI in banking may not perform well and could create issues with my bank account.]])</f>
        <v>2.5</v>
      </c>
      <c r="AA6" s="2">
        <v>4</v>
      </c>
      <c r="AB6" s="2">
        <v>3</v>
      </c>
      <c r="AC6" s="2">
        <v>4</v>
      </c>
      <c r="AD6" s="2">
        <v>5</v>
      </c>
      <c r="AE6" s="14">
        <f>AVERAGE(Form_Responses[[#This Row],[I believe that banking AI is trustworthy.]:[I trust banking AI to protect my personal information.]])</f>
        <v>4</v>
      </c>
      <c r="AF6" s="2">
        <v>3</v>
      </c>
      <c r="AG6" s="2">
        <v>4</v>
      </c>
      <c r="AH6" s="3">
        <v>4</v>
      </c>
      <c r="AI6" s="13">
        <f>AVERAGE(Form_Responses[[#This Row],[I would like to use banking AI soon.]:[I intend to use AI banking in my banking process. ]])</f>
        <v>3.6666666666666665</v>
      </c>
    </row>
    <row r="7" spans="1:35" x14ac:dyDescent="0.25">
      <c r="A7" s="4">
        <v>45912.610834467589</v>
      </c>
      <c r="B7" s="5" t="s">
        <v>29</v>
      </c>
      <c r="C7" s="5" t="s">
        <v>35</v>
      </c>
      <c r="D7" s="5" t="s">
        <v>34</v>
      </c>
      <c r="E7" s="5" t="s">
        <v>32</v>
      </c>
      <c r="F7" s="5" t="s">
        <v>36</v>
      </c>
      <c r="G7" s="5">
        <v>2</v>
      </c>
      <c r="H7" s="5">
        <v>4</v>
      </c>
      <c r="I7" s="5">
        <v>4</v>
      </c>
      <c r="J7" s="5">
        <v>4</v>
      </c>
      <c r="K7" s="15">
        <f>AVERAGE(Form_Responses[[#This Row],[Using AI in banking can meet my service needs.]:[Overall, I find AI in banking to be useful.]])</f>
        <v>3.5</v>
      </c>
      <c r="L7" s="5">
        <v>5</v>
      </c>
      <c r="M7" s="5">
        <v>4</v>
      </c>
      <c r="N7" s="5">
        <v>4</v>
      </c>
      <c r="O7" s="5">
        <v>4</v>
      </c>
      <c r="P7" s="15">
        <f>AVERAGE(Form_Responses[[#This Row],[Learning to use AI in banking is easy to me.]:[Interacting with AI in banking requires minimal mental effort from me. ]])</f>
        <v>4.25</v>
      </c>
      <c r="Q7" s="5">
        <v>4</v>
      </c>
      <c r="R7" s="5">
        <v>2</v>
      </c>
      <c r="S7" s="5">
        <v>4</v>
      </c>
      <c r="T7" s="5">
        <v>4</v>
      </c>
      <c r="U7" s="15">
        <f>AVERAGE(Form_Responses[[#This Row],[I believe using AI in banking is a good idea.]:[I am interested in the application of AI in Banking.]])</f>
        <v>3.5</v>
      </c>
      <c r="V7" s="5">
        <v>5</v>
      </c>
      <c r="W7" s="5">
        <v>5</v>
      </c>
      <c r="X7" s="5">
        <v>5</v>
      </c>
      <c r="Y7" s="5">
        <v>5</v>
      </c>
      <c r="Z7" s="15">
        <f>AVERAGE(Form_Responses[[#This Row],[I believe that money is easy to be stolen by using AI in banking.]:[AI in banking may not perform well and could create issues with my bank account.]])</f>
        <v>5</v>
      </c>
      <c r="AA7" s="5">
        <v>2</v>
      </c>
      <c r="AB7" s="5">
        <v>1</v>
      </c>
      <c r="AC7" s="5">
        <v>2</v>
      </c>
      <c r="AD7" s="5">
        <v>1</v>
      </c>
      <c r="AE7" s="15">
        <f>AVERAGE(Form_Responses[[#This Row],[I believe that banking AI is trustworthy.]:[I trust banking AI to protect my personal information.]])</f>
        <v>1.5</v>
      </c>
      <c r="AF7" s="5">
        <v>2</v>
      </c>
      <c r="AG7" s="5">
        <v>2</v>
      </c>
      <c r="AH7" s="6">
        <v>1</v>
      </c>
      <c r="AI7" s="13">
        <f>AVERAGE(Form_Responses[[#This Row],[I would like to use banking AI soon.]:[I intend to use AI banking in my banking process. ]])</f>
        <v>1.6666666666666667</v>
      </c>
    </row>
    <row r="8" spans="1:35" x14ac:dyDescent="0.25">
      <c r="A8" s="1">
        <v>45912.623992233799</v>
      </c>
      <c r="B8" s="2" t="s">
        <v>38</v>
      </c>
      <c r="C8" s="2" t="s">
        <v>35</v>
      </c>
      <c r="D8" s="2" t="s">
        <v>34</v>
      </c>
      <c r="E8" s="2" t="s">
        <v>32</v>
      </c>
      <c r="F8" s="2" t="s">
        <v>33</v>
      </c>
      <c r="G8" s="2">
        <v>4</v>
      </c>
      <c r="H8" s="2">
        <v>3</v>
      </c>
      <c r="I8" s="2">
        <v>5</v>
      </c>
      <c r="J8" s="2">
        <v>4</v>
      </c>
      <c r="K8" s="14">
        <f>AVERAGE(Form_Responses[[#This Row],[Using AI in banking can meet my service needs.]:[Overall, I find AI in banking to be useful.]])</f>
        <v>4</v>
      </c>
      <c r="L8" s="2">
        <v>4</v>
      </c>
      <c r="M8" s="2">
        <v>4</v>
      </c>
      <c r="N8" s="2">
        <v>5</v>
      </c>
      <c r="O8" s="2">
        <v>4</v>
      </c>
      <c r="P8" s="14">
        <f>AVERAGE(Form_Responses[[#This Row],[Learning to use AI in banking is easy to me.]:[Interacting with AI in banking requires minimal mental effort from me. ]])</f>
        <v>4.25</v>
      </c>
      <c r="Q8" s="2">
        <v>4</v>
      </c>
      <c r="R8" s="2">
        <v>3</v>
      </c>
      <c r="S8" s="2">
        <v>4</v>
      </c>
      <c r="T8" s="2">
        <v>5</v>
      </c>
      <c r="U8" s="14">
        <f>AVERAGE(Form_Responses[[#This Row],[I believe using AI in banking is a good idea.]:[I am interested in the application of AI in Banking.]])</f>
        <v>4</v>
      </c>
      <c r="V8" s="2">
        <v>5</v>
      </c>
      <c r="W8" s="2">
        <v>5</v>
      </c>
      <c r="X8" s="2">
        <v>3</v>
      </c>
      <c r="Y8" s="2">
        <v>4</v>
      </c>
      <c r="Z8" s="14">
        <f>AVERAGE(Form_Responses[[#This Row],[I believe that money is easy to be stolen by using AI in banking.]:[AI in banking may not perform well and could create issues with my bank account.]])</f>
        <v>4.25</v>
      </c>
      <c r="AA8" s="2">
        <v>5</v>
      </c>
      <c r="AB8" s="2">
        <v>4</v>
      </c>
      <c r="AC8" s="2">
        <v>3</v>
      </c>
      <c r="AD8" s="2">
        <v>4</v>
      </c>
      <c r="AE8" s="14">
        <f>AVERAGE(Form_Responses[[#This Row],[I believe that banking AI is trustworthy.]:[I trust banking AI to protect my personal information.]])</f>
        <v>4</v>
      </c>
      <c r="AF8" s="2">
        <v>5</v>
      </c>
      <c r="AG8" s="2">
        <v>4</v>
      </c>
      <c r="AH8" s="3">
        <v>4</v>
      </c>
      <c r="AI8" s="13">
        <f>AVERAGE(Form_Responses[[#This Row],[I would like to use banking AI soon.]:[I intend to use AI banking in my banking process. ]])</f>
        <v>4.333333333333333</v>
      </c>
    </row>
    <row r="9" spans="1:35" x14ac:dyDescent="0.25">
      <c r="A9" s="4">
        <v>45912.624859791671</v>
      </c>
      <c r="B9" s="5" t="s">
        <v>29</v>
      </c>
      <c r="C9" s="5" t="s">
        <v>35</v>
      </c>
      <c r="D9" s="5" t="s">
        <v>34</v>
      </c>
      <c r="E9" s="5" t="s">
        <v>32</v>
      </c>
      <c r="F9" s="5" t="s">
        <v>39</v>
      </c>
      <c r="G9" s="5">
        <v>5</v>
      </c>
      <c r="H9" s="5">
        <v>5</v>
      </c>
      <c r="I9" s="5">
        <v>5</v>
      </c>
      <c r="J9" s="5">
        <v>5</v>
      </c>
      <c r="K9" s="15">
        <f>AVERAGE(Form_Responses[[#This Row],[Using AI in banking can meet my service needs.]:[Overall, I find AI in banking to be useful.]])</f>
        <v>5</v>
      </c>
      <c r="L9" s="5">
        <v>5</v>
      </c>
      <c r="M9" s="5">
        <v>5</v>
      </c>
      <c r="N9" s="5">
        <v>4</v>
      </c>
      <c r="O9" s="5">
        <v>3</v>
      </c>
      <c r="P9" s="15">
        <f>AVERAGE(Form_Responses[[#This Row],[Learning to use AI in banking is easy to me.]:[Interacting with AI in banking requires minimal mental effort from me. ]])</f>
        <v>4.25</v>
      </c>
      <c r="Q9" s="5">
        <v>4</v>
      </c>
      <c r="R9" s="5">
        <v>5</v>
      </c>
      <c r="S9" s="5">
        <v>4</v>
      </c>
      <c r="T9" s="5">
        <v>5</v>
      </c>
      <c r="U9" s="15">
        <f>AVERAGE(Form_Responses[[#This Row],[I believe using AI in banking is a good idea.]:[I am interested in the application of AI in Banking.]])</f>
        <v>4.5</v>
      </c>
      <c r="V9" s="5">
        <v>4</v>
      </c>
      <c r="W9" s="5">
        <v>4</v>
      </c>
      <c r="X9" s="5">
        <v>4</v>
      </c>
      <c r="Y9" s="5">
        <v>4</v>
      </c>
      <c r="Z9" s="15">
        <f>AVERAGE(Form_Responses[[#This Row],[I believe that money is easy to be stolen by using AI in banking.]:[AI in banking may not perform well and could create issues with my bank account.]])</f>
        <v>4</v>
      </c>
      <c r="AA9" s="5">
        <v>4</v>
      </c>
      <c r="AB9" s="5">
        <v>4</v>
      </c>
      <c r="AC9" s="5">
        <v>4</v>
      </c>
      <c r="AD9" s="5">
        <v>3</v>
      </c>
      <c r="AE9" s="15">
        <f>AVERAGE(Form_Responses[[#This Row],[I believe that banking AI is trustworthy.]:[I trust banking AI to protect my personal information.]])</f>
        <v>3.75</v>
      </c>
      <c r="AF9" s="5">
        <v>5</v>
      </c>
      <c r="AG9" s="5">
        <v>5</v>
      </c>
      <c r="AH9" s="6">
        <v>5</v>
      </c>
      <c r="AI9" s="13">
        <f>AVERAGE(Form_Responses[[#This Row],[I would like to use banking AI soon.]:[I intend to use AI banking in my banking process. ]])</f>
        <v>5</v>
      </c>
    </row>
    <row r="10" spans="1:35" x14ac:dyDescent="0.25">
      <c r="A10" s="1">
        <v>45912.646989155095</v>
      </c>
      <c r="B10" s="2" t="s">
        <v>38</v>
      </c>
      <c r="C10" s="2" t="s">
        <v>30</v>
      </c>
      <c r="D10" s="2" t="s">
        <v>34</v>
      </c>
      <c r="E10" s="2" t="s">
        <v>32</v>
      </c>
      <c r="F10" s="2" t="s">
        <v>37</v>
      </c>
      <c r="G10" s="2">
        <v>3</v>
      </c>
      <c r="H10" s="2">
        <v>4</v>
      </c>
      <c r="I10" s="2">
        <v>4</v>
      </c>
      <c r="J10" s="2">
        <v>4</v>
      </c>
      <c r="K10" s="14">
        <f>AVERAGE(Form_Responses[[#This Row],[Using AI in banking can meet my service needs.]:[Overall, I find AI in banking to be useful.]])</f>
        <v>3.75</v>
      </c>
      <c r="L10" s="2">
        <v>4</v>
      </c>
      <c r="M10" s="2">
        <v>4</v>
      </c>
      <c r="N10" s="2">
        <v>3</v>
      </c>
      <c r="O10" s="2">
        <v>3</v>
      </c>
      <c r="P10" s="14">
        <f>AVERAGE(Form_Responses[[#This Row],[Learning to use AI in banking is easy to me.]:[Interacting with AI in banking requires minimal mental effort from me. ]])</f>
        <v>3.5</v>
      </c>
      <c r="Q10" s="2">
        <v>4</v>
      </c>
      <c r="R10" s="2">
        <v>3</v>
      </c>
      <c r="S10" s="2">
        <v>4</v>
      </c>
      <c r="T10" s="2">
        <v>4</v>
      </c>
      <c r="U10" s="14">
        <f>AVERAGE(Form_Responses[[#This Row],[I believe using AI in banking is a good idea.]:[I am interested in the application of AI in Banking.]])</f>
        <v>3.75</v>
      </c>
      <c r="V10" s="2">
        <v>3</v>
      </c>
      <c r="W10" s="2">
        <v>3</v>
      </c>
      <c r="X10" s="2">
        <v>3</v>
      </c>
      <c r="Y10" s="2">
        <v>3</v>
      </c>
      <c r="Z10" s="14">
        <f>AVERAGE(Form_Responses[[#This Row],[I believe that money is easy to be stolen by using AI in banking.]:[AI in banking may not perform well and could create issues with my bank account.]])</f>
        <v>3</v>
      </c>
      <c r="AA10" s="2">
        <v>4</v>
      </c>
      <c r="AB10" s="2">
        <v>4</v>
      </c>
      <c r="AC10" s="2">
        <v>3</v>
      </c>
      <c r="AD10" s="2">
        <v>3</v>
      </c>
      <c r="AE10" s="14">
        <f>AVERAGE(Form_Responses[[#This Row],[I believe that banking AI is trustworthy.]:[I trust banking AI to protect my personal information.]])</f>
        <v>3.5</v>
      </c>
      <c r="AF10" s="2">
        <v>4</v>
      </c>
      <c r="AG10" s="2">
        <v>4</v>
      </c>
      <c r="AH10" s="3">
        <v>4</v>
      </c>
      <c r="AI10" s="13">
        <f>AVERAGE(Form_Responses[[#This Row],[I would like to use banking AI soon.]:[I intend to use AI banking in my banking process. ]])</f>
        <v>4</v>
      </c>
    </row>
    <row r="11" spans="1:35" x14ac:dyDescent="0.25">
      <c r="A11" s="4">
        <v>45912.652533576387</v>
      </c>
      <c r="B11" s="5" t="s">
        <v>29</v>
      </c>
      <c r="C11" s="5" t="s">
        <v>35</v>
      </c>
      <c r="D11" s="5" t="s">
        <v>34</v>
      </c>
      <c r="E11" s="5" t="s">
        <v>32</v>
      </c>
      <c r="F11" s="5" t="s">
        <v>36</v>
      </c>
      <c r="G11" s="5">
        <v>5</v>
      </c>
      <c r="H11" s="5">
        <v>5</v>
      </c>
      <c r="I11" s="5">
        <v>5</v>
      </c>
      <c r="J11" s="5">
        <v>5</v>
      </c>
      <c r="K11" s="15">
        <f>AVERAGE(Form_Responses[[#This Row],[Using AI in banking can meet my service needs.]:[Overall, I find AI in banking to be useful.]])</f>
        <v>5</v>
      </c>
      <c r="L11" s="5">
        <v>5</v>
      </c>
      <c r="M11" s="5">
        <v>4</v>
      </c>
      <c r="N11" s="5">
        <v>4</v>
      </c>
      <c r="O11" s="5">
        <v>2</v>
      </c>
      <c r="P11" s="15">
        <f>AVERAGE(Form_Responses[[#This Row],[Learning to use AI in banking is easy to me.]:[Interacting with AI in banking requires minimal mental effort from me. ]])</f>
        <v>3.75</v>
      </c>
      <c r="Q11" s="5">
        <v>5</v>
      </c>
      <c r="R11" s="5">
        <v>5</v>
      </c>
      <c r="S11" s="5">
        <v>5</v>
      </c>
      <c r="T11" s="5">
        <v>5</v>
      </c>
      <c r="U11" s="15">
        <f>AVERAGE(Form_Responses[[#This Row],[I believe using AI in banking is a good idea.]:[I am interested in the application of AI in Banking.]])</f>
        <v>5</v>
      </c>
      <c r="V11" s="5">
        <v>3</v>
      </c>
      <c r="W11" s="5">
        <v>2</v>
      </c>
      <c r="X11" s="5">
        <v>2</v>
      </c>
      <c r="Y11" s="5">
        <v>2</v>
      </c>
      <c r="Z11" s="15">
        <f>AVERAGE(Form_Responses[[#This Row],[I believe that money is easy to be stolen by using AI in banking.]:[AI in banking may not perform well and could create issues with my bank account.]])</f>
        <v>2.25</v>
      </c>
      <c r="AA11" s="5">
        <v>4</v>
      </c>
      <c r="AB11" s="5">
        <v>4</v>
      </c>
      <c r="AC11" s="5">
        <v>4</v>
      </c>
      <c r="AD11" s="5">
        <v>4</v>
      </c>
      <c r="AE11" s="15">
        <f>AVERAGE(Form_Responses[[#This Row],[I believe that banking AI is trustworthy.]:[I trust banking AI to protect my personal information.]])</f>
        <v>4</v>
      </c>
      <c r="AF11" s="5">
        <v>5</v>
      </c>
      <c r="AG11" s="5">
        <v>5</v>
      </c>
      <c r="AH11" s="6">
        <v>4</v>
      </c>
      <c r="AI11" s="13">
        <f>AVERAGE(Form_Responses[[#This Row],[I would like to use banking AI soon.]:[I intend to use AI banking in my banking process. ]])</f>
        <v>4.666666666666667</v>
      </c>
    </row>
    <row r="12" spans="1:35" x14ac:dyDescent="0.25">
      <c r="A12" s="1">
        <v>45912.695985543978</v>
      </c>
      <c r="B12" s="2" t="s">
        <v>38</v>
      </c>
      <c r="C12" s="2" t="s">
        <v>35</v>
      </c>
      <c r="D12" s="2" t="s">
        <v>34</v>
      </c>
      <c r="E12" s="2" t="s">
        <v>32</v>
      </c>
      <c r="F12" s="2" t="s">
        <v>39</v>
      </c>
      <c r="G12" s="2">
        <v>4</v>
      </c>
      <c r="H12" s="2">
        <v>4</v>
      </c>
      <c r="I12" s="2">
        <v>4</v>
      </c>
      <c r="J12" s="2">
        <v>4</v>
      </c>
      <c r="K12" s="14">
        <f>AVERAGE(Form_Responses[[#This Row],[Using AI in banking can meet my service needs.]:[Overall, I find AI in banking to be useful.]])</f>
        <v>4</v>
      </c>
      <c r="L12" s="2">
        <v>4</v>
      </c>
      <c r="M12" s="2">
        <v>4</v>
      </c>
      <c r="N12" s="2">
        <v>2</v>
      </c>
      <c r="O12" s="2">
        <v>2</v>
      </c>
      <c r="P12" s="14">
        <f>AVERAGE(Form_Responses[[#This Row],[Learning to use AI in banking is easy to me.]:[Interacting with AI in banking requires minimal mental effort from me. ]])</f>
        <v>3</v>
      </c>
      <c r="Q12" s="2">
        <v>4</v>
      </c>
      <c r="R12" s="2">
        <v>4</v>
      </c>
      <c r="S12" s="2">
        <v>4</v>
      </c>
      <c r="T12" s="2">
        <v>3</v>
      </c>
      <c r="U12" s="14">
        <f>AVERAGE(Form_Responses[[#This Row],[I believe using AI in banking is a good idea.]:[I am interested in the application of AI in Banking.]])</f>
        <v>3.75</v>
      </c>
      <c r="V12" s="2">
        <v>2</v>
      </c>
      <c r="W12" s="2">
        <v>2</v>
      </c>
      <c r="X12" s="2">
        <v>2</v>
      </c>
      <c r="Y12" s="2">
        <v>4</v>
      </c>
      <c r="Z12" s="14">
        <f>AVERAGE(Form_Responses[[#This Row],[I believe that money is easy to be stolen by using AI in banking.]:[AI in banking may not perform well and could create issues with my bank account.]])</f>
        <v>2.5</v>
      </c>
      <c r="AA12" s="2">
        <v>3</v>
      </c>
      <c r="AB12" s="2">
        <v>3</v>
      </c>
      <c r="AC12" s="2">
        <v>3</v>
      </c>
      <c r="AD12" s="2">
        <v>4</v>
      </c>
      <c r="AE12" s="14">
        <f>AVERAGE(Form_Responses[[#This Row],[I believe that banking AI is trustworthy.]:[I trust banking AI to protect my personal information.]])</f>
        <v>3.25</v>
      </c>
      <c r="AF12" s="2">
        <v>4</v>
      </c>
      <c r="AG12" s="2">
        <v>4</v>
      </c>
      <c r="AH12" s="3">
        <v>4</v>
      </c>
      <c r="AI12" s="13">
        <f>AVERAGE(Form_Responses[[#This Row],[I would like to use banking AI soon.]:[I intend to use AI banking in my banking process. ]])</f>
        <v>4</v>
      </c>
    </row>
    <row r="13" spans="1:35" x14ac:dyDescent="0.25">
      <c r="A13" s="4">
        <v>45912.732038043978</v>
      </c>
      <c r="B13" s="5" t="s">
        <v>29</v>
      </c>
      <c r="C13" s="5" t="s">
        <v>35</v>
      </c>
      <c r="D13" s="5" t="s">
        <v>34</v>
      </c>
      <c r="E13" s="5" t="s">
        <v>40</v>
      </c>
      <c r="F13" s="5" t="s">
        <v>39</v>
      </c>
      <c r="G13" s="5">
        <v>4</v>
      </c>
      <c r="H13" s="5">
        <v>5</v>
      </c>
      <c r="I13" s="5">
        <v>5</v>
      </c>
      <c r="J13" s="5">
        <v>4</v>
      </c>
      <c r="K13" s="15">
        <f>AVERAGE(Form_Responses[[#This Row],[Using AI in banking can meet my service needs.]:[Overall, I find AI in banking to be useful.]])</f>
        <v>4.5</v>
      </c>
      <c r="L13" s="5">
        <v>3</v>
      </c>
      <c r="M13" s="5">
        <v>3</v>
      </c>
      <c r="N13" s="5">
        <v>2</v>
      </c>
      <c r="O13" s="5">
        <v>4</v>
      </c>
      <c r="P13" s="15">
        <f>AVERAGE(Form_Responses[[#This Row],[Learning to use AI in banking is easy to me.]:[Interacting with AI in banking requires minimal mental effort from me. ]])</f>
        <v>3</v>
      </c>
      <c r="Q13" s="5">
        <v>4</v>
      </c>
      <c r="R13" s="5">
        <v>3</v>
      </c>
      <c r="S13" s="5">
        <v>3</v>
      </c>
      <c r="T13" s="5">
        <v>4</v>
      </c>
      <c r="U13" s="15">
        <f>AVERAGE(Form_Responses[[#This Row],[I believe using AI in banking is a good idea.]:[I am interested in the application of AI in Banking.]])</f>
        <v>3.5</v>
      </c>
      <c r="V13" s="5">
        <v>4</v>
      </c>
      <c r="W13" s="5">
        <v>4</v>
      </c>
      <c r="X13" s="5">
        <v>4</v>
      </c>
      <c r="Y13" s="5">
        <v>4</v>
      </c>
      <c r="Z13" s="15">
        <f>AVERAGE(Form_Responses[[#This Row],[I believe that money is easy to be stolen by using AI in banking.]:[AI in banking may not perform well and could create issues with my bank account.]])</f>
        <v>4</v>
      </c>
      <c r="AA13" s="5">
        <v>3</v>
      </c>
      <c r="AB13" s="5">
        <v>3</v>
      </c>
      <c r="AC13" s="5">
        <v>3</v>
      </c>
      <c r="AD13" s="5">
        <v>3</v>
      </c>
      <c r="AE13" s="15">
        <f>AVERAGE(Form_Responses[[#This Row],[I believe that banking AI is trustworthy.]:[I trust banking AI to protect my personal information.]])</f>
        <v>3</v>
      </c>
      <c r="AF13" s="5">
        <v>3</v>
      </c>
      <c r="AG13" s="5">
        <v>4</v>
      </c>
      <c r="AH13" s="6">
        <v>4</v>
      </c>
      <c r="AI13" s="13">
        <f>AVERAGE(Form_Responses[[#This Row],[I would like to use banking AI soon.]:[I intend to use AI banking in my banking process. ]])</f>
        <v>3.6666666666666665</v>
      </c>
    </row>
    <row r="14" spans="1:35" x14ac:dyDescent="0.25">
      <c r="A14" s="1">
        <v>45912.745382766203</v>
      </c>
      <c r="B14" s="2" t="s">
        <v>38</v>
      </c>
      <c r="C14" s="2" t="s">
        <v>35</v>
      </c>
      <c r="D14" s="2" t="s">
        <v>34</v>
      </c>
      <c r="E14" s="2" t="s">
        <v>32</v>
      </c>
      <c r="F14" s="2" t="s">
        <v>41</v>
      </c>
      <c r="G14" s="2">
        <v>4</v>
      </c>
      <c r="H14" s="2">
        <v>5</v>
      </c>
      <c r="I14" s="2">
        <v>4</v>
      </c>
      <c r="J14" s="2">
        <v>4</v>
      </c>
      <c r="K14" s="14">
        <f>AVERAGE(Form_Responses[[#This Row],[Using AI in banking can meet my service needs.]:[Overall, I find AI in banking to be useful.]])</f>
        <v>4.25</v>
      </c>
      <c r="L14" s="2">
        <v>4</v>
      </c>
      <c r="M14" s="2">
        <v>4</v>
      </c>
      <c r="N14" s="2">
        <v>4</v>
      </c>
      <c r="O14" s="2">
        <v>5</v>
      </c>
      <c r="P14" s="14">
        <f>AVERAGE(Form_Responses[[#This Row],[Learning to use AI in banking is easy to me.]:[Interacting with AI in banking requires minimal mental effort from me. ]])</f>
        <v>4.25</v>
      </c>
      <c r="Q14" s="2">
        <v>4</v>
      </c>
      <c r="R14" s="2">
        <v>3</v>
      </c>
      <c r="S14" s="2">
        <v>4</v>
      </c>
      <c r="T14" s="2">
        <v>5</v>
      </c>
      <c r="U14" s="14">
        <f>AVERAGE(Form_Responses[[#This Row],[I believe using AI in banking is a good idea.]:[I am interested in the application of AI in Banking.]])</f>
        <v>4</v>
      </c>
      <c r="V14" s="2">
        <v>2</v>
      </c>
      <c r="W14" s="2">
        <v>3</v>
      </c>
      <c r="X14" s="2">
        <v>2</v>
      </c>
      <c r="Y14" s="2">
        <v>3</v>
      </c>
      <c r="Z14" s="14">
        <f>AVERAGE(Form_Responses[[#This Row],[I believe that money is easy to be stolen by using AI in banking.]:[AI in banking may not perform well and could create issues with my bank account.]])</f>
        <v>2.5</v>
      </c>
      <c r="AA14" s="2">
        <v>4</v>
      </c>
      <c r="AB14" s="2">
        <v>4</v>
      </c>
      <c r="AC14" s="2">
        <v>4</v>
      </c>
      <c r="AD14" s="2">
        <v>3</v>
      </c>
      <c r="AE14" s="14">
        <f>AVERAGE(Form_Responses[[#This Row],[I believe that banking AI is trustworthy.]:[I trust banking AI to protect my personal information.]])</f>
        <v>3.75</v>
      </c>
      <c r="AF14" s="2">
        <v>4</v>
      </c>
      <c r="AG14" s="2">
        <v>5</v>
      </c>
      <c r="AH14" s="3">
        <v>5</v>
      </c>
      <c r="AI14" s="13">
        <f>AVERAGE(Form_Responses[[#This Row],[I would like to use banking AI soon.]:[I intend to use AI banking in my banking process. ]])</f>
        <v>4.666666666666667</v>
      </c>
    </row>
    <row r="15" spans="1:35" x14ac:dyDescent="0.25">
      <c r="A15" s="4">
        <v>45912.795716099536</v>
      </c>
      <c r="B15" s="5" t="s">
        <v>29</v>
      </c>
      <c r="C15" s="5" t="s">
        <v>30</v>
      </c>
      <c r="D15" s="5" t="s">
        <v>34</v>
      </c>
      <c r="E15" s="5" t="s">
        <v>32</v>
      </c>
      <c r="F15" s="5" t="s">
        <v>39</v>
      </c>
      <c r="G15" s="5">
        <v>3</v>
      </c>
      <c r="H15" s="5">
        <v>4</v>
      </c>
      <c r="I15" s="5">
        <v>4</v>
      </c>
      <c r="J15" s="5">
        <v>4</v>
      </c>
      <c r="K15" s="15">
        <f>AVERAGE(Form_Responses[[#This Row],[Using AI in banking can meet my service needs.]:[Overall, I find AI in banking to be useful.]])</f>
        <v>3.75</v>
      </c>
      <c r="L15" s="5">
        <v>4</v>
      </c>
      <c r="M15" s="5">
        <v>4</v>
      </c>
      <c r="N15" s="5">
        <v>4</v>
      </c>
      <c r="O15" s="5">
        <v>4</v>
      </c>
      <c r="P15" s="15">
        <f>AVERAGE(Form_Responses[[#This Row],[Learning to use AI in banking is easy to me.]:[Interacting with AI in banking requires minimal mental effort from me. ]])</f>
        <v>4</v>
      </c>
      <c r="Q15" s="5">
        <v>3</v>
      </c>
      <c r="R15" s="5">
        <v>3</v>
      </c>
      <c r="S15" s="5">
        <v>4</v>
      </c>
      <c r="T15" s="5">
        <v>4</v>
      </c>
      <c r="U15" s="15">
        <f>AVERAGE(Form_Responses[[#This Row],[I believe using AI in banking is a good idea.]:[I am interested in the application of AI in Banking.]])</f>
        <v>3.5</v>
      </c>
      <c r="V15" s="5">
        <v>2</v>
      </c>
      <c r="W15" s="5">
        <v>4</v>
      </c>
      <c r="X15" s="5">
        <v>2</v>
      </c>
      <c r="Y15" s="5">
        <v>3</v>
      </c>
      <c r="Z15" s="15">
        <f>AVERAGE(Form_Responses[[#This Row],[I believe that money is easy to be stolen by using AI in banking.]:[AI in banking may not perform well and could create issues with my bank account.]])</f>
        <v>2.75</v>
      </c>
      <c r="AA15" s="5">
        <v>3</v>
      </c>
      <c r="AB15" s="5">
        <v>4</v>
      </c>
      <c r="AC15" s="5">
        <v>4</v>
      </c>
      <c r="AD15" s="5">
        <v>4</v>
      </c>
      <c r="AE15" s="15">
        <f>AVERAGE(Form_Responses[[#This Row],[I believe that banking AI is trustworthy.]:[I trust banking AI to protect my personal information.]])</f>
        <v>3.75</v>
      </c>
      <c r="AF15" s="5">
        <v>3</v>
      </c>
      <c r="AG15" s="5">
        <v>3</v>
      </c>
      <c r="AH15" s="6">
        <v>4</v>
      </c>
      <c r="AI15" s="13">
        <f>AVERAGE(Form_Responses[[#This Row],[I would like to use banking AI soon.]:[I intend to use AI banking in my banking process. ]])</f>
        <v>3.3333333333333335</v>
      </c>
    </row>
    <row r="16" spans="1:35" x14ac:dyDescent="0.25">
      <c r="A16" s="1">
        <v>45912.881739803241</v>
      </c>
      <c r="B16" s="2" t="s">
        <v>29</v>
      </c>
      <c r="C16" s="2" t="s">
        <v>30</v>
      </c>
      <c r="D16" s="2" t="s">
        <v>34</v>
      </c>
      <c r="E16" s="2" t="s">
        <v>32</v>
      </c>
      <c r="F16" s="2" t="s">
        <v>41</v>
      </c>
      <c r="G16" s="2">
        <v>4</v>
      </c>
      <c r="H16" s="2">
        <v>4</v>
      </c>
      <c r="I16" s="2">
        <v>4</v>
      </c>
      <c r="J16" s="2">
        <v>4</v>
      </c>
      <c r="K16" s="14">
        <f>AVERAGE(Form_Responses[[#This Row],[Using AI in banking can meet my service needs.]:[Overall, I find AI in banking to be useful.]])</f>
        <v>4</v>
      </c>
      <c r="L16" s="2">
        <v>4</v>
      </c>
      <c r="M16" s="2">
        <v>4</v>
      </c>
      <c r="N16" s="2">
        <v>4</v>
      </c>
      <c r="O16" s="2">
        <v>4</v>
      </c>
      <c r="P16" s="14">
        <f>AVERAGE(Form_Responses[[#This Row],[Learning to use AI in banking is easy to me.]:[Interacting with AI in banking requires minimal mental effort from me. ]])</f>
        <v>4</v>
      </c>
      <c r="Q16" s="2">
        <v>4</v>
      </c>
      <c r="R16" s="2">
        <v>4</v>
      </c>
      <c r="S16" s="2">
        <v>5</v>
      </c>
      <c r="T16" s="2">
        <v>4</v>
      </c>
      <c r="U16" s="14">
        <f>AVERAGE(Form_Responses[[#This Row],[I believe using AI in banking is a good idea.]:[I am interested in the application of AI in Banking.]])</f>
        <v>4.25</v>
      </c>
      <c r="V16" s="2">
        <v>4</v>
      </c>
      <c r="W16" s="2">
        <v>2</v>
      </c>
      <c r="X16" s="2">
        <v>4</v>
      </c>
      <c r="Y16" s="2">
        <v>4</v>
      </c>
      <c r="Z16" s="14">
        <f>AVERAGE(Form_Responses[[#This Row],[I believe that money is easy to be stolen by using AI in banking.]:[AI in banking may not perform well and could create issues with my bank account.]])</f>
        <v>3.5</v>
      </c>
      <c r="AA16" s="2">
        <v>2</v>
      </c>
      <c r="AB16" s="2">
        <v>4</v>
      </c>
      <c r="AC16" s="2">
        <v>2</v>
      </c>
      <c r="AD16" s="2">
        <v>2</v>
      </c>
      <c r="AE16" s="14">
        <f>AVERAGE(Form_Responses[[#This Row],[I believe that banking AI is trustworthy.]:[I trust banking AI to protect my personal information.]])</f>
        <v>2.5</v>
      </c>
      <c r="AF16" s="2">
        <v>4</v>
      </c>
      <c r="AG16" s="2">
        <v>4</v>
      </c>
      <c r="AH16" s="3">
        <v>4</v>
      </c>
      <c r="AI16" s="13">
        <f>AVERAGE(Form_Responses[[#This Row],[I would like to use banking AI soon.]:[I intend to use AI banking in my banking process. ]])</f>
        <v>4</v>
      </c>
    </row>
    <row r="17" spans="1:35" x14ac:dyDescent="0.25">
      <c r="A17" s="4">
        <v>45912.893564074075</v>
      </c>
      <c r="B17" s="5" t="s">
        <v>29</v>
      </c>
      <c r="C17" s="5" t="s">
        <v>35</v>
      </c>
      <c r="D17" s="5" t="s">
        <v>34</v>
      </c>
      <c r="E17" s="5" t="s">
        <v>32</v>
      </c>
      <c r="F17" s="5" t="s">
        <v>41</v>
      </c>
      <c r="G17" s="5">
        <v>3</v>
      </c>
      <c r="H17" s="5">
        <v>4</v>
      </c>
      <c r="I17" s="5">
        <v>4</v>
      </c>
      <c r="J17" s="5">
        <v>4</v>
      </c>
      <c r="K17" s="15">
        <f>AVERAGE(Form_Responses[[#This Row],[Using AI in banking can meet my service needs.]:[Overall, I find AI in banking to be useful.]])</f>
        <v>3.75</v>
      </c>
      <c r="L17" s="5">
        <v>4</v>
      </c>
      <c r="M17" s="5">
        <v>4</v>
      </c>
      <c r="N17" s="5">
        <v>4</v>
      </c>
      <c r="O17" s="5">
        <v>3</v>
      </c>
      <c r="P17" s="15">
        <f>AVERAGE(Form_Responses[[#This Row],[Learning to use AI in banking is easy to me.]:[Interacting with AI in banking requires minimal mental effort from me. ]])</f>
        <v>3.75</v>
      </c>
      <c r="Q17" s="5">
        <v>4</v>
      </c>
      <c r="R17" s="5">
        <v>4</v>
      </c>
      <c r="S17" s="5">
        <v>4</v>
      </c>
      <c r="T17" s="5">
        <v>4</v>
      </c>
      <c r="U17" s="15">
        <f>AVERAGE(Form_Responses[[#This Row],[I believe using AI in banking is a good idea.]:[I am interested in the application of AI in Banking.]])</f>
        <v>4</v>
      </c>
      <c r="V17" s="5">
        <v>2</v>
      </c>
      <c r="W17" s="5">
        <v>3</v>
      </c>
      <c r="X17" s="5">
        <v>2</v>
      </c>
      <c r="Y17" s="5">
        <v>3</v>
      </c>
      <c r="Z17" s="15">
        <f>AVERAGE(Form_Responses[[#This Row],[I believe that money is easy to be stolen by using AI in banking.]:[AI in banking may not perform well and could create issues with my bank account.]])</f>
        <v>2.5</v>
      </c>
      <c r="AA17" s="5">
        <v>4</v>
      </c>
      <c r="AB17" s="5">
        <v>3</v>
      </c>
      <c r="AC17" s="5">
        <v>4</v>
      </c>
      <c r="AD17" s="5">
        <v>3</v>
      </c>
      <c r="AE17" s="15">
        <f>AVERAGE(Form_Responses[[#This Row],[I believe that banking AI is trustworthy.]:[I trust banking AI to protect my personal information.]])</f>
        <v>3.5</v>
      </c>
      <c r="AF17" s="5">
        <v>4</v>
      </c>
      <c r="AG17" s="5">
        <v>4</v>
      </c>
      <c r="AH17" s="6">
        <v>4</v>
      </c>
      <c r="AI17" s="13">
        <f>AVERAGE(Form_Responses[[#This Row],[I would like to use banking AI soon.]:[I intend to use AI banking in my banking process. ]])</f>
        <v>4</v>
      </c>
    </row>
    <row r="18" spans="1:35" x14ac:dyDescent="0.25">
      <c r="A18" s="1">
        <v>45912.949012210651</v>
      </c>
      <c r="B18" s="2" t="s">
        <v>38</v>
      </c>
      <c r="C18" s="2" t="s">
        <v>35</v>
      </c>
      <c r="D18" s="2" t="s">
        <v>34</v>
      </c>
      <c r="E18" s="2" t="s">
        <v>32</v>
      </c>
      <c r="F18" s="2" t="s">
        <v>39</v>
      </c>
      <c r="G18" s="2">
        <v>3</v>
      </c>
      <c r="H18" s="2">
        <v>3</v>
      </c>
      <c r="I18" s="2">
        <v>4</v>
      </c>
      <c r="J18" s="2">
        <v>4</v>
      </c>
      <c r="K18" s="14">
        <f>AVERAGE(Form_Responses[[#This Row],[Using AI in banking can meet my service needs.]:[Overall, I find AI in banking to be useful.]])</f>
        <v>3.5</v>
      </c>
      <c r="L18" s="2">
        <v>3</v>
      </c>
      <c r="M18" s="2">
        <v>3</v>
      </c>
      <c r="N18" s="2">
        <v>3</v>
      </c>
      <c r="O18" s="2">
        <v>3</v>
      </c>
      <c r="P18" s="14">
        <f>AVERAGE(Form_Responses[[#This Row],[Learning to use AI in banking is easy to me.]:[Interacting with AI in banking requires minimal mental effort from me. ]])</f>
        <v>3</v>
      </c>
      <c r="Q18" s="2">
        <v>4</v>
      </c>
      <c r="R18" s="2">
        <v>4</v>
      </c>
      <c r="S18" s="2">
        <v>4</v>
      </c>
      <c r="T18" s="2">
        <v>4</v>
      </c>
      <c r="U18" s="14">
        <f>AVERAGE(Form_Responses[[#This Row],[I believe using AI in banking is a good idea.]:[I am interested in the application of AI in Banking.]])</f>
        <v>4</v>
      </c>
      <c r="V18" s="2">
        <v>3</v>
      </c>
      <c r="W18" s="2">
        <v>3</v>
      </c>
      <c r="X18" s="2">
        <v>3</v>
      </c>
      <c r="Y18" s="2">
        <v>3</v>
      </c>
      <c r="Z18" s="14">
        <f>AVERAGE(Form_Responses[[#This Row],[I believe that money is easy to be stolen by using AI in banking.]:[AI in banking may not perform well and could create issues with my bank account.]])</f>
        <v>3</v>
      </c>
      <c r="AA18" s="2">
        <v>2</v>
      </c>
      <c r="AB18" s="2">
        <v>3</v>
      </c>
      <c r="AC18" s="2">
        <v>2</v>
      </c>
      <c r="AD18" s="2">
        <v>2</v>
      </c>
      <c r="AE18" s="14">
        <f>AVERAGE(Form_Responses[[#This Row],[I believe that banking AI is trustworthy.]:[I trust banking AI to protect my personal information.]])</f>
        <v>2.25</v>
      </c>
      <c r="AF18" s="2">
        <v>3</v>
      </c>
      <c r="AG18" s="2">
        <v>4</v>
      </c>
      <c r="AH18" s="3">
        <v>4</v>
      </c>
      <c r="AI18" s="13">
        <f>AVERAGE(Form_Responses[[#This Row],[I would like to use banking AI soon.]:[I intend to use AI banking in my banking process. ]])</f>
        <v>3.6666666666666665</v>
      </c>
    </row>
    <row r="19" spans="1:35" x14ac:dyDescent="0.25">
      <c r="A19" s="4">
        <v>45912.975140578703</v>
      </c>
      <c r="B19" s="5" t="s">
        <v>29</v>
      </c>
      <c r="C19" s="5" t="s">
        <v>35</v>
      </c>
      <c r="D19" s="5" t="s">
        <v>34</v>
      </c>
      <c r="E19" s="5" t="s">
        <v>32</v>
      </c>
      <c r="F19" s="5" t="s">
        <v>33</v>
      </c>
      <c r="G19" s="5">
        <v>3</v>
      </c>
      <c r="H19" s="5">
        <v>4</v>
      </c>
      <c r="I19" s="5">
        <v>4</v>
      </c>
      <c r="J19" s="5">
        <v>4</v>
      </c>
      <c r="K19" s="15">
        <f>AVERAGE(Form_Responses[[#This Row],[Using AI in banking can meet my service needs.]:[Overall, I find AI in banking to be useful.]])</f>
        <v>3.75</v>
      </c>
      <c r="L19" s="5">
        <v>3</v>
      </c>
      <c r="M19" s="5">
        <v>3</v>
      </c>
      <c r="N19" s="5">
        <v>2</v>
      </c>
      <c r="O19" s="5">
        <v>3</v>
      </c>
      <c r="P19" s="15">
        <f>AVERAGE(Form_Responses[[#This Row],[Learning to use AI in banking is easy to me.]:[Interacting with AI in banking requires minimal mental effort from me. ]])</f>
        <v>2.75</v>
      </c>
      <c r="Q19" s="5">
        <v>3</v>
      </c>
      <c r="R19" s="5">
        <v>3</v>
      </c>
      <c r="S19" s="5">
        <v>3</v>
      </c>
      <c r="T19" s="5">
        <v>3</v>
      </c>
      <c r="U19" s="15">
        <f>AVERAGE(Form_Responses[[#This Row],[I believe using AI in banking is a good idea.]:[I am interested in the application of AI in Banking.]])</f>
        <v>3</v>
      </c>
      <c r="V19" s="5">
        <v>4</v>
      </c>
      <c r="W19" s="5">
        <v>4</v>
      </c>
      <c r="X19" s="5">
        <v>4</v>
      </c>
      <c r="Y19" s="5">
        <v>4</v>
      </c>
      <c r="Z19" s="15">
        <f>AVERAGE(Form_Responses[[#This Row],[I believe that money is easy to be stolen by using AI in banking.]:[AI in banking may not perform well and could create issues with my bank account.]])</f>
        <v>4</v>
      </c>
      <c r="AA19" s="5">
        <v>2</v>
      </c>
      <c r="AB19" s="5">
        <v>2</v>
      </c>
      <c r="AC19" s="5">
        <v>3</v>
      </c>
      <c r="AD19" s="5">
        <v>2</v>
      </c>
      <c r="AE19" s="15">
        <f>AVERAGE(Form_Responses[[#This Row],[I believe that banking AI is trustworthy.]:[I trust banking AI to protect my personal information.]])</f>
        <v>2.25</v>
      </c>
      <c r="AF19" s="5">
        <v>3</v>
      </c>
      <c r="AG19" s="5">
        <v>3</v>
      </c>
      <c r="AH19" s="6">
        <v>3</v>
      </c>
      <c r="AI19" s="13">
        <f>AVERAGE(Form_Responses[[#This Row],[I would like to use banking AI soon.]:[I intend to use AI banking in my banking process. ]])</f>
        <v>3</v>
      </c>
    </row>
    <row r="20" spans="1:35" x14ac:dyDescent="0.25">
      <c r="A20" s="1">
        <v>45912.98552530093</v>
      </c>
      <c r="B20" s="2" t="s">
        <v>29</v>
      </c>
      <c r="C20" s="2" t="s">
        <v>30</v>
      </c>
      <c r="D20" s="2" t="s">
        <v>34</v>
      </c>
      <c r="E20" s="2" t="s">
        <v>32</v>
      </c>
      <c r="F20" s="2" t="s">
        <v>33</v>
      </c>
      <c r="G20" s="2">
        <v>4</v>
      </c>
      <c r="H20" s="2">
        <v>4</v>
      </c>
      <c r="I20" s="2">
        <v>5</v>
      </c>
      <c r="J20" s="2">
        <v>2</v>
      </c>
      <c r="K20" s="14">
        <f>AVERAGE(Form_Responses[[#This Row],[Using AI in banking can meet my service needs.]:[Overall, I find AI in banking to be useful.]])</f>
        <v>3.75</v>
      </c>
      <c r="L20" s="2">
        <v>4</v>
      </c>
      <c r="M20" s="2">
        <v>4</v>
      </c>
      <c r="N20" s="2">
        <v>4</v>
      </c>
      <c r="O20" s="2">
        <v>5</v>
      </c>
      <c r="P20" s="14">
        <f>AVERAGE(Form_Responses[[#This Row],[Learning to use AI in banking is easy to me.]:[Interacting with AI in banking requires minimal mental effort from me. ]])</f>
        <v>4.25</v>
      </c>
      <c r="Q20" s="2">
        <v>5</v>
      </c>
      <c r="R20" s="2">
        <v>5</v>
      </c>
      <c r="S20" s="2">
        <v>5</v>
      </c>
      <c r="T20" s="2">
        <v>5</v>
      </c>
      <c r="U20" s="14">
        <f>AVERAGE(Form_Responses[[#This Row],[I believe using AI in banking is a good idea.]:[I am interested in the application of AI in Banking.]])</f>
        <v>5</v>
      </c>
      <c r="V20" s="2">
        <v>2</v>
      </c>
      <c r="W20" s="2">
        <v>2</v>
      </c>
      <c r="X20" s="2">
        <v>2</v>
      </c>
      <c r="Y20" s="2">
        <v>2</v>
      </c>
      <c r="Z20" s="14">
        <f>AVERAGE(Form_Responses[[#This Row],[I believe that money is easy to be stolen by using AI in banking.]:[AI in banking may not perform well and could create issues with my bank account.]])</f>
        <v>2</v>
      </c>
      <c r="AA20" s="2">
        <v>4</v>
      </c>
      <c r="AB20" s="2">
        <v>2</v>
      </c>
      <c r="AC20" s="2">
        <v>5</v>
      </c>
      <c r="AD20" s="2">
        <v>1</v>
      </c>
      <c r="AE20" s="14">
        <f>AVERAGE(Form_Responses[[#This Row],[I believe that banking AI is trustworthy.]:[I trust banking AI to protect my personal information.]])</f>
        <v>3</v>
      </c>
      <c r="AF20" s="2">
        <v>5</v>
      </c>
      <c r="AG20" s="2">
        <v>5</v>
      </c>
      <c r="AH20" s="3">
        <v>5</v>
      </c>
      <c r="AI20" s="13">
        <f>AVERAGE(Form_Responses[[#This Row],[I would like to use banking AI soon.]:[I intend to use AI banking in my banking process. ]])</f>
        <v>5</v>
      </c>
    </row>
    <row r="21" spans="1:35" x14ac:dyDescent="0.25">
      <c r="A21" s="4">
        <v>45913.337737303242</v>
      </c>
      <c r="B21" s="5" t="s">
        <v>38</v>
      </c>
      <c r="C21" s="5" t="s">
        <v>30</v>
      </c>
      <c r="D21" s="5" t="s">
        <v>31</v>
      </c>
      <c r="E21" s="5" t="s">
        <v>32</v>
      </c>
      <c r="F21" s="5" t="s">
        <v>33</v>
      </c>
      <c r="G21" s="5">
        <v>4</v>
      </c>
      <c r="H21" s="5">
        <v>4</v>
      </c>
      <c r="I21" s="5">
        <v>4</v>
      </c>
      <c r="J21" s="5">
        <v>4</v>
      </c>
      <c r="K21" s="15">
        <f>AVERAGE(Form_Responses[[#This Row],[Using AI in banking can meet my service needs.]:[Overall, I find AI in banking to be useful.]])</f>
        <v>4</v>
      </c>
      <c r="L21" s="5">
        <v>4</v>
      </c>
      <c r="M21" s="5">
        <v>4</v>
      </c>
      <c r="N21" s="5">
        <v>4</v>
      </c>
      <c r="O21" s="5">
        <v>3</v>
      </c>
      <c r="P21" s="15">
        <f>AVERAGE(Form_Responses[[#This Row],[Learning to use AI in banking is easy to me.]:[Interacting with AI in banking requires minimal mental effort from me. ]])</f>
        <v>3.75</v>
      </c>
      <c r="Q21" s="5">
        <v>4</v>
      </c>
      <c r="R21" s="5">
        <v>3</v>
      </c>
      <c r="S21" s="5">
        <v>4</v>
      </c>
      <c r="T21" s="5">
        <v>4</v>
      </c>
      <c r="U21" s="15">
        <f>AVERAGE(Form_Responses[[#This Row],[I believe using AI in banking is a good idea.]:[I am interested in the application of AI in Banking.]])</f>
        <v>3.75</v>
      </c>
      <c r="V21" s="5">
        <v>4</v>
      </c>
      <c r="W21" s="5">
        <v>4</v>
      </c>
      <c r="X21" s="5">
        <v>4</v>
      </c>
      <c r="Y21" s="5">
        <v>3</v>
      </c>
      <c r="Z21" s="15">
        <f>AVERAGE(Form_Responses[[#This Row],[I believe that money is easy to be stolen by using AI in banking.]:[AI in banking may not perform well and could create issues with my bank account.]])</f>
        <v>3.75</v>
      </c>
      <c r="AA21" s="5">
        <v>2</v>
      </c>
      <c r="AB21" s="5">
        <v>3</v>
      </c>
      <c r="AC21" s="5">
        <v>3</v>
      </c>
      <c r="AD21" s="5">
        <v>3</v>
      </c>
      <c r="AE21" s="15">
        <f>AVERAGE(Form_Responses[[#This Row],[I believe that banking AI is trustworthy.]:[I trust banking AI to protect my personal information.]])</f>
        <v>2.75</v>
      </c>
      <c r="AF21" s="5">
        <v>4</v>
      </c>
      <c r="AG21" s="5">
        <v>4</v>
      </c>
      <c r="AH21" s="6">
        <v>4</v>
      </c>
      <c r="AI21" s="13">
        <f>AVERAGE(Form_Responses[[#This Row],[I would like to use banking AI soon.]:[I intend to use AI banking in my banking process. ]])</f>
        <v>4</v>
      </c>
    </row>
    <row r="22" spans="1:35" x14ac:dyDescent="0.25">
      <c r="A22" s="1">
        <v>45913.443233761573</v>
      </c>
      <c r="B22" s="2" t="s">
        <v>29</v>
      </c>
      <c r="C22" s="2" t="s">
        <v>35</v>
      </c>
      <c r="D22" s="2" t="s">
        <v>34</v>
      </c>
      <c r="E22" s="2" t="s">
        <v>32</v>
      </c>
      <c r="F22" s="2" t="s">
        <v>39</v>
      </c>
      <c r="G22" s="2">
        <v>3</v>
      </c>
      <c r="H22" s="2">
        <v>5</v>
      </c>
      <c r="I22" s="2">
        <v>4</v>
      </c>
      <c r="J22" s="2">
        <v>4</v>
      </c>
      <c r="K22" s="14">
        <f>AVERAGE(Form_Responses[[#This Row],[Using AI in banking can meet my service needs.]:[Overall, I find AI in banking to be useful.]])</f>
        <v>4</v>
      </c>
      <c r="L22" s="2">
        <v>4</v>
      </c>
      <c r="M22" s="2">
        <v>3</v>
      </c>
      <c r="N22" s="2">
        <v>3</v>
      </c>
      <c r="O22" s="2">
        <v>3</v>
      </c>
      <c r="P22" s="14">
        <f>AVERAGE(Form_Responses[[#This Row],[Learning to use AI in banking is easy to me.]:[Interacting with AI in banking requires minimal mental effort from me. ]])</f>
        <v>3.25</v>
      </c>
      <c r="Q22" s="2">
        <v>4</v>
      </c>
      <c r="R22" s="2">
        <v>3</v>
      </c>
      <c r="S22" s="2">
        <v>4</v>
      </c>
      <c r="T22" s="2">
        <v>4</v>
      </c>
      <c r="U22" s="14">
        <f>AVERAGE(Form_Responses[[#This Row],[I believe using AI in banking is a good idea.]:[I am interested in the application of AI in Banking.]])</f>
        <v>3.75</v>
      </c>
      <c r="V22" s="2">
        <v>2</v>
      </c>
      <c r="W22" s="2">
        <v>3</v>
      </c>
      <c r="X22" s="2">
        <v>2</v>
      </c>
      <c r="Y22" s="2">
        <v>3</v>
      </c>
      <c r="Z22" s="14">
        <f>AVERAGE(Form_Responses[[#This Row],[I believe that money is easy to be stolen by using AI in banking.]:[AI in banking may not perform well and could create issues with my bank account.]])</f>
        <v>2.5</v>
      </c>
      <c r="AA22" s="2">
        <v>4</v>
      </c>
      <c r="AB22" s="2">
        <v>4</v>
      </c>
      <c r="AC22" s="2">
        <v>4</v>
      </c>
      <c r="AD22" s="2">
        <v>4</v>
      </c>
      <c r="AE22" s="14">
        <f>AVERAGE(Form_Responses[[#This Row],[I believe that banking AI is trustworthy.]:[I trust banking AI to protect my personal information.]])</f>
        <v>4</v>
      </c>
      <c r="AF22" s="2">
        <v>4</v>
      </c>
      <c r="AG22" s="2">
        <v>4</v>
      </c>
      <c r="AH22" s="3">
        <v>4</v>
      </c>
      <c r="AI22" s="13">
        <f>AVERAGE(Form_Responses[[#This Row],[I would like to use banking AI soon.]:[I intend to use AI banking in my banking process. ]])</f>
        <v>4</v>
      </c>
    </row>
    <row r="23" spans="1:35" x14ac:dyDescent="0.25">
      <c r="A23" s="4">
        <v>45913.512776643518</v>
      </c>
      <c r="B23" s="5" t="s">
        <v>29</v>
      </c>
      <c r="C23" s="5" t="s">
        <v>35</v>
      </c>
      <c r="D23" s="5" t="s">
        <v>34</v>
      </c>
      <c r="E23" s="5" t="s">
        <v>32</v>
      </c>
      <c r="F23" s="5" t="s">
        <v>36</v>
      </c>
      <c r="G23" s="5">
        <v>5</v>
      </c>
      <c r="H23" s="5">
        <v>5</v>
      </c>
      <c r="I23" s="5">
        <v>5</v>
      </c>
      <c r="J23" s="5">
        <v>5</v>
      </c>
      <c r="K23" s="15">
        <f>AVERAGE(Form_Responses[[#This Row],[Using AI in banking can meet my service needs.]:[Overall, I find AI in banking to be useful.]])</f>
        <v>5</v>
      </c>
      <c r="L23" s="5">
        <v>5</v>
      </c>
      <c r="M23" s="5">
        <v>5</v>
      </c>
      <c r="N23" s="5">
        <v>5</v>
      </c>
      <c r="O23" s="5">
        <v>5</v>
      </c>
      <c r="P23" s="15">
        <f>AVERAGE(Form_Responses[[#This Row],[Learning to use AI in banking is easy to me.]:[Interacting with AI in banking requires minimal mental effort from me. ]])</f>
        <v>5</v>
      </c>
      <c r="Q23" s="5">
        <v>5</v>
      </c>
      <c r="R23" s="5">
        <v>5</v>
      </c>
      <c r="S23" s="5">
        <v>5</v>
      </c>
      <c r="T23" s="5">
        <v>5</v>
      </c>
      <c r="U23" s="15">
        <f>AVERAGE(Form_Responses[[#This Row],[I believe using AI in banking is a good idea.]:[I am interested in the application of AI in Banking.]])</f>
        <v>5</v>
      </c>
      <c r="V23" s="5">
        <v>1</v>
      </c>
      <c r="W23" s="5">
        <v>2</v>
      </c>
      <c r="X23" s="5">
        <v>2</v>
      </c>
      <c r="Y23" s="5">
        <v>1</v>
      </c>
      <c r="Z23" s="15">
        <f>AVERAGE(Form_Responses[[#This Row],[I believe that money is easy to be stolen by using AI in banking.]:[AI in banking may not perform well and could create issues with my bank account.]])</f>
        <v>1.5</v>
      </c>
      <c r="AA23" s="5">
        <v>5</v>
      </c>
      <c r="AB23" s="5">
        <v>5</v>
      </c>
      <c r="AC23" s="5">
        <v>4</v>
      </c>
      <c r="AD23" s="5">
        <v>4</v>
      </c>
      <c r="AE23" s="15">
        <f>AVERAGE(Form_Responses[[#This Row],[I believe that banking AI is trustworthy.]:[I trust banking AI to protect my personal information.]])</f>
        <v>4.5</v>
      </c>
      <c r="AF23" s="5">
        <v>5</v>
      </c>
      <c r="AG23" s="5">
        <v>5</v>
      </c>
      <c r="AH23" s="6">
        <v>5</v>
      </c>
      <c r="AI23" s="13">
        <f>AVERAGE(Form_Responses[[#This Row],[I would like to use banking AI soon.]:[I intend to use AI banking in my banking process. ]])</f>
        <v>5</v>
      </c>
    </row>
    <row r="24" spans="1:35" x14ac:dyDescent="0.25">
      <c r="A24" s="1">
        <v>45913.526280300925</v>
      </c>
      <c r="B24" s="2" t="s">
        <v>38</v>
      </c>
      <c r="C24" s="2" t="s">
        <v>42</v>
      </c>
      <c r="D24" s="2" t="s">
        <v>43</v>
      </c>
      <c r="E24" s="2" t="s">
        <v>40</v>
      </c>
      <c r="F24" s="2" t="s">
        <v>33</v>
      </c>
      <c r="G24" s="2">
        <v>4</v>
      </c>
      <c r="H24" s="2">
        <v>5</v>
      </c>
      <c r="I24" s="2">
        <v>5</v>
      </c>
      <c r="J24" s="2">
        <v>5</v>
      </c>
      <c r="K24" s="14">
        <f>AVERAGE(Form_Responses[[#This Row],[Using AI in banking can meet my service needs.]:[Overall, I find AI in banking to be useful.]])</f>
        <v>4.75</v>
      </c>
      <c r="L24" s="2">
        <v>5</v>
      </c>
      <c r="M24" s="2">
        <v>5</v>
      </c>
      <c r="N24" s="2">
        <v>5</v>
      </c>
      <c r="O24" s="2">
        <v>5</v>
      </c>
      <c r="P24" s="14">
        <f>AVERAGE(Form_Responses[[#This Row],[Learning to use AI in banking is easy to me.]:[Interacting with AI in banking requires minimal mental effort from me. ]])</f>
        <v>5</v>
      </c>
      <c r="Q24" s="2">
        <v>5</v>
      </c>
      <c r="R24" s="2">
        <v>5</v>
      </c>
      <c r="S24" s="2">
        <v>5</v>
      </c>
      <c r="T24" s="2">
        <v>5</v>
      </c>
      <c r="U24" s="14">
        <f>AVERAGE(Form_Responses[[#This Row],[I believe using AI in banking is a good idea.]:[I am interested in the application of AI in Banking.]])</f>
        <v>5</v>
      </c>
      <c r="V24" s="2">
        <v>4</v>
      </c>
      <c r="W24" s="2">
        <v>4</v>
      </c>
      <c r="X24" s="2">
        <v>4</v>
      </c>
      <c r="Y24" s="2">
        <v>4</v>
      </c>
      <c r="Z24" s="14">
        <f>AVERAGE(Form_Responses[[#This Row],[I believe that money is easy to be stolen by using AI in banking.]:[AI in banking may not perform well and could create issues with my bank account.]])</f>
        <v>4</v>
      </c>
      <c r="AA24" s="2">
        <v>2</v>
      </c>
      <c r="AB24" s="2">
        <v>4</v>
      </c>
      <c r="AC24" s="2">
        <v>2</v>
      </c>
      <c r="AD24" s="2">
        <v>2</v>
      </c>
      <c r="AE24" s="14">
        <f>AVERAGE(Form_Responses[[#This Row],[I believe that banking AI is trustworthy.]:[I trust banking AI to protect my personal information.]])</f>
        <v>2.5</v>
      </c>
      <c r="AF24" s="2">
        <v>2</v>
      </c>
      <c r="AG24" s="2">
        <v>2</v>
      </c>
      <c r="AH24" s="3">
        <v>2</v>
      </c>
      <c r="AI24" s="13">
        <f>AVERAGE(Form_Responses[[#This Row],[I would like to use banking AI soon.]:[I intend to use AI banking in my banking process. ]])</f>
        <v>2</v>
      </c>
    </row>
    <row r="25" spans="1:35" x14ac:dyDescent="0.25">
      <c r="A25" s="4">
        <v>45913.530313645839</v>
      </c>
      <c r="B25" s="5" t="s">
        <v>38</v>
      </c>
      <c r="C25" s="5" t="s">
        <v>35</v>
      </c>
      <c r="D25" s="5" t="s">
        <v>34</v>
      </c>
      <c r="E25" s="5" t="s">
        <v>32</v>
      </c>
      <c r="F25" s="5" t="s">
        <v>36</v>
      </c>
      <c r="G25" s="5">
        <v>4</v>
      </c>
      <c r="H25" s="5">
        <v>5</v>
      </c>
      <c r="I25" s="5">
        <v>5</v>
      </c>
      <c r="J25" s="5">
        <v>4</v>
      </c>
      <c r="K25" s="15">
        <f>AVERAGE(Form_Responses[[#This Row],[Using AI in banking can meet my service needs.]:[Overall, I find AI in banking to be useful.]])</f>
        <v>4.5</v>
      </c>
      <c r="L25" s="5">
        <v>4</v>
      </c>
      <c r="M25" s="5">
        <v>4</v>
      </c>
      <c r="N25" s="5">
        <v>4</v>
      </c>
      <c r="O25" s="5">
        <v>4</v>
      </c>
      <c r="P25" s="15">
        <f>AVERAGE(Form_Responses[[#This Row],[Learning to use AI in banking is easy to me.]:[Interacting with AI in banking requires minimal mental effort from me. ]])</f>
        <v>4</v>
      </c>
      <c r="Q25" s="5">
        <v>4</v>
      </c>
      <c r="R25" s="5">
        <v>3</v>
      </c>
      <c r="S25" s="5">
        <v>4</v>
      </c>
      <c r="T25" s="5">
        <v>4</v>
      </c>
      <c r="U25" s="15">
        <f>AVERAGE(Form_Responses[[#This Row],[I believe using AI in banking is a good idea.]:[I am interested in the application of AI in Banking.]])</f>
        <v>3.75</v>
      </c>
      <c r="V25" s="5">
        <v>4</v>
      </c>
      <c r="W25" s="5">
        <v>4</v>
      </c>
      <c r="X25" s="5">
        <v>4</v>
      </c>
      <c r="Y25" s="5">
        <v>2</v>
      </c>
      <c r="Z25" s="15">
        <f>AVERAGE(Form_Responses[[#This Row],[I believe that money is easy to be stolen by using AI in banking.]:[AI in banking may not perform well and could create issues with my bank account.]])</f>
        <v>3.5</v>
      </c>
      <c r="AA25" s="5">
        <v>3</v>
      </c>
      <c r="AB25" s="5">
        <v>4</v>
      </c>
      <c r="AC25" s="5">
        <v>3</v>
      </c>
      <c r="AD25" s="5">
        <v>2</v>
      </c>
      <c r="AE25" s="15">
        <f>AVERAGE(Form_Responses[[#This Row],[I believe that banking AI is trustworthy.]:[I trust banking AI to protect my personal information.]])</f>
        <v>3</v>
      </c>
      <c r="AF25" s="5">
        <v>4</v>
      </c>
      <c r="AG25" s="5">
        <v>2</v>
      </c>
      <c r="AH25" s="6">
        <v>2</v>
      </c>
      <c r="AI25" s="13">
        <f>AVERAGE(Form_Responses[[#This Row],[I would like to use banking AI soon.]:[I intend to use AI banking in my banking process. ]])</f>
        <v>2.6666666666666665</v>
      </c>
    </row>
    <row r="26" spans="1:35" x14ac:dyDescent="0.25">
      <c r="A26" s="1">
        <v>45913.53309420139</v>
      </c>
      <c r="B26" s="2" t="s">
        <v>29</v>
      </c>
      <c r="C26" s="2" t="s">
        <v>35</v>
      </c>
      <c r="D26" s="2" t="s">
        <v>34</v>
      </c>
      <c r="E26" s="2" t="s">
        <v>40</v>
      </c>
      <c r="F26" s="2" t="s">
        <v>41</v>
      </c>
      <c r="G26" s="2">
        <v>4</v>
      </c>
      <c r="H26" s="2">
        <v>4</v>
      </c>
      <c r="I26" s="2">
        <v>4</v>
      </c>
      <c r="J26" s="2">
        <v>4</v>
      </c>
      <c r="K26" s="14">
        <f>AVERAGE(Form_Responses[[#This Row],[Using AI in banking can meet my service needs.]:[Overall, I find AI in banking to be useful.]])</f>
        <v>4</v>
      </c>
      <c r="L26" s="2">
        <v>2</v>
      </c>
      <c r="M26" s="2">
        <v>2</v>
      </c>
      <c r="N26" s="2">
        <v>2</v>
      </c>
      <c r="O26" s="2">
        <v>3</v>
      </c>
      <c r="P26" s="14">
        <f>AVERAGE(Form_Responses[[#This Row],[Learning to use AI in banking is easy to me.]:[Interacting with AI in banking requires minimal mental effort from me. ]])</f>
        <v>2.25</v>
      </c>
      <c r="Q26" s="2">
        <v>3</v>
      </c>
      <c r="R26" s="2">
        <v>3</v>
      </c>
      <c r="S26" s="2">
        <v>3</v>
      </c>
      <c r="T26" s="2">
        <v>2</v>
      </c>
      <c r="U26" s="14">
        <f>AVERAGE(Form_Responses[[#This Row],[I believe using AI in banking is a good idea.]:[I am interested in the application of AI in Banking.]])</f>
        <v>2.75</v>
      </c>
      <c r="V26" s="2">
        <v>3</v>
      </c>
      <c r="W26" s="2">
        <v>3</v>
      </c>
      <c r="X26" s="2">
        <v>3</v>
      </c>
      <c r="Y26" s="2">
        <v>4</v>
      </c>
      <c r="Z26" s="14">
        <f>AVERAGE(Form_Responses[[#This Row],[I believe that money is easy to be stolen by using AI in banking.]:[AI in banking may not perform well and could create issues with my bank account.]])</f>
        <v>3.25</v>
      </c>
      <c r="AA26" s="2">
        <v>2</v>
      </c>
      <c r="AB26" s="2">
        <v>2</v>
      </c>
      <c r="AC26" s="2">
        <v>3</v>
      </c>
      <c r="AD26" s="2">
        <v>3</v>
      </c>
      <c r="AE26" s="14">
        <f>AVERAGE(Form_Responses[[#This Row],[I believe that banking AI is trustworthy.]:[I trust banking AI to protect my personal information.]])</f>
        <v>2.5</v>
      </c>
      <c r="AF26" s="2">
        <v>2</v>
      </c>
      <c r="AG26" s="2">
        <v>3</v>
      </c>
      <c r="AH26" s="3">
        <v>2</v>
      </c>
      <c r="AI26" s="13">
        <f>AVERAGE(Form_Responses[[#This Row],[I would like to use banking AI soon.]:[I intend to use AI banking in my banking process. ]])</f>
        <v>2.3333333333333335</v>
      </c>
    </row>
    <row r="27" spans="1:35" x14ac:dyDescent="0.25">
      <c r="A27" s="4">
        <v>45913.546227696759</v>
      </c>
      <c r="B27" s="5" t="s">
        <v>38</v>
      </c>
      <c r="C27" s="5" t="s">
        <v>35</v>
      </c>
      <c r="D27" s="5" t="s">
        <v>34</v>
      </c>
      <c r="E27" s="5" t="s">
        <v>32</v>
      </c>
      <c r="F27" s="5" t="s">
        <v>39</v>
      </c>
      <c r="G27" s="5">
        <v>4</v>
      </c>
      <c r="H27" s="5">
        <v>4</v>
      </c>
      <c r="I27" s="5">
        <v>4</v>
      </c>
      <c r="J27" s="5">
        <v>5</v>
      </c>
      <c r="K27" s="15">
        <f>AVERAGE(Form_Responses[[#This Row],[Using AI in banking can meet my service needs.]:[Overall, I find AI in banking to be useful.]])</f>
        <v>4.25</v>
      </c>
      <c r="L27" s="5">
        <v>3</v>
      </c>
      <c r="M27" s="5">
        <v>3</v>
      </c>
      <c r="N27" s="5">
        <v>4</v>
      </c>
      <c r="O27" s="5">
        <v>3</v>
      </c>
      <c r="P27" s="15">
        <f>AVERAGE(Form_Responses[[#This Row],[Learning to use AI in banking is easy to me.]:[Interacting with AI in banking requires minimal mental effort from me. ]])</f>
        <v>3.25</v>
      </c>
      <c r="Q27" s="5">
        <v>4</v>
      </c>
      <c r="R27" s="5">
        <v>4</v>
      </c>
      <c r="S27" s="5">
        <v>5</v>
      </c>
      <c r="T27" s="5">
        <v>5</v>
      </c>
      <c r="U27" s="15">
        <f>AVERAGE(Form_Responses[[#This Row],[I believe using AI in banking is a good idea.]:[I am interested in the application of AI in Banking.]])</f>
        <v>4.5</v>
      </c>
      <c r="V27" s="5">
        <v>5</v>
      </c>
      <c r="W27" s="5">
        <v>5</v>
      </c>
      <c r="X27" s="5">
        <v>3</v>
      </c>
      <c r="Y27" s="5">
        <v>3</v>
      </c>
      <c r="Z27" s="15">
        <f>AVERAGE(Form_Responses[[#This Row],[I believe that money is easy to be stolen by using AI in banking.]:[AI in banking may not perform well and could create issues with my bank account.]])</f>
        <v>4</v>
      </c>
      <c r="AA27" s="5">
        <v>3</v>
      </c>
      <c r="AB27" s="5">
        <v>5</v>
      </c>
      <c r="AC27" s="5">
        <v>4</v>
      </c>
      <c r="AD27" s="5">
        <v>3</v>
      </c>
      <c r="AE27" s="15">
        <f>AVERAGE(Form_Responses[[#This Row],[I believe that banking AI is trustworthy.]:[I trust banking AI to protect my personal information.]])</f>
        <v>3.75</v>
      </c>
      <c r="AF27" s="5">
        <v>4</v>
      </c>
      <c r="AG27" s="5">
        <v>4</v>
      </c>
      <c r="AH27" s="6">
        <v>4</v>
      </c>
      <c r="AI27" s="13">
        <f>AVERAGE(Form_Responses[[#This Row],[I would like to use banking AI soon.]:[I intend to use AI banking in my banking process. ]])</f>
        <v>4</v>
      </c>
    </row>
    <row r="28" spans="1:35" x14ac:dyDescent="0.25">
      <c r="A28" s="1">
        <v>45913.628590868058</v>
      </c>
      <c r="B28" s="2" t="s">
        <v>38</v>
      </c>
      <c r="C28" s="2" t="s">
        <v>35</v>
      </c>
      <c r="D28" s="2" t="s">
        <v>34</v>
      </c>
      <c r="E28" s="2" t="s">
        <v>32</v>
      </c>
      <c r="F28" s="2" t="s">
        <v>39</v>
      </c>
      <c r="G28" s="2">
        <v>3</v>
      </c>
      <c r="H28" s="2">
        <v>4</v>
      </c>
      <c r="I28" s="2">
        <v>4</v>
      </c>
      <c r="J28" s="2">
        <v>4</v>
      </c>
      <c r="K28" s="14">
        <f>AVERAGE(Form_Responses[[#This Row],[Using AI in banking can meet my service needs.]:[Overall, I find AI in banking to be useful.]])</f>
        <v>3.75</v>
      </c>
      <c r="L28" s="2">
        <v>4</v>
      </c>
      <c r="M28" s="2">
        <v>3</v>
      </c>
      <c r="N28" s="2">
        <v>3</v>
      </c>
      <c r="O28" s="2">
        <v>4</v>
      </c>
      <c r="P28" s="14">
        <f>AVERAGE(Form_Responses[[#This Row],[Learning to use AI in banking is easy to me.]:[Interacting with AI in banking requires minimal mental effort from me. ]])</f>
        <v>3.5</v>
      </c>
      <c r="Q28" s="2">
        <v>4</v>
      </c>
      <c r="R28" s="2">
        <v>4</v>
      </c>
      <c r="S28" s="2">
        <v>4</v>
      </c>
      <c r="T28" s="2">
        <v>5</v>
      </c>
      <c r="U28" s="14">
        <f>AVERAGE(Form_Responses[[#This Row],[I believe using AI in banking is a good idea.]:[I am interested in the application of AI in Banking.]])</f>
        <v>4.25</v>
      </c>
      <c r="V28" s="2">
        <v>3</v>
      </c>
      <c r="W28" s="2">
        <v>4</v>
      </c>
      <c r="X28" s="2">
        <v>3</v>
      </c>
      <c r="Y28" s="2">
        <v>3</v>
      </c>
      <c r="Z28" s="14">
        <f>AVERAGE(Form_Responses[[#This Row],[I believe that money is easy to be stolen by using AI in banking.]:[AI in banking may not perform well and could create issues with my bank account.]])</f>
        <v>3.25</v>
      </c>
      <c r="AA28" s="2">
        <v>3</v>
      </c>
      <c r="AB28" s="2">
        <v>4</v>
      </c>
      <c r="AC28" s="2">
        <v>3</v>
      </c>
      <c r="AD28" s="2">
        <v>3</v>
      </c>
      <c r="AE28" s="14">
        <f>AVERAGE(Form_Responses[[#This Row],[I believe that banking AI is trustworthy.]:[I trust banking AI to protect my personal information.]])</f>
        <v>3.25</v>
      </c>
      <c r="AF28" s="2">
        <v>4</v>
      </c>
      <c r="AG28" s="2">
        <v>4</v>
      </c>
      <c r="AH28" s="3">
        <v>5</v>
      </c>
      <c r="AI28" s="13">
        <f>AVERAGE(Form_Responses[[#This Row],[I would like to use banking AI soon.]:[I intend to use AI banking in my banking process. ]])</f>
        <v>4.333333333333333</v>
      </c>
    </row>
    <row r="29" spans="1:35" x14ac:dyDescent="0.25">
      <c r="A29" s="4">
        <v>45913.710991666667</v>
      </c>
      <c r="B29" s="5" t="s">
        <v>38</v>
      </c>
      <c r="C29" s="5" t="s">
        <v>35</v>
      </c>
      <c r="D29" s="5" t="s">
        <v>34</v>
      </c>
      <c r="E29" s="5" t="s">
        <v>32</v>
      </c>
      <c r="F29" s="5" t="s">
        <v>39</v>
      </c>
      <c r="G29" s="5">
        <v>4</v>
      </c>
      <c r="H29" s="5">
        <v>5</v>
      </c>
      <c r="I29" s="5">
        <v>5</v>
      </c>
      <c r="J29" s="5">
        <v>4</v>
      </c>
      <c r="K29" s="15">
        <f>AVERAGE(Form_Responses[[#This Row],[Using AI in banking can meet my service needs.]:[Overall, I find AI in banking to be useful.]])</f>
        <v>4.5</v>
      </c>
      <c r="L29" s="5">
        <v>4</v>
      </c>
      <c r="M29" s="5">
        <v>4</v>
      </c>
      <c r="N29" s="5">
        <v>5</v>
      </c>
      <c r="O29" s="5">
        <v>4</v>
      </c>
      <c r="P29" s="15">
        <f>AVERAGE(Form_Responses[[#This Row],[Learning to use AI in banking is easy to me.]:[Interacting with AI in banking requires minimal mental effort from me. ]])</f>
        <v>4.25</v>
      </c>
      <c r="Q29" s="5">
        <v>4</v>
      </c>
      <c r="R29" s="5">
        <v>5</v>
      </c>
      <c r="S29" s="5">
        <v>4</v>
      </c>
      <c r="T29" s="5">
        <v>2</v>
      </c>
      <c r="U29" s="15">
        <f>AVERAGE(Form_Responses[[#This Row],[I believe using AI in banking is a good idea.]:[I am interested in the application of AI in Banking.]])</f>
        <v>3.75</v>
      </c>
      <c r="V29" s="5">
        <v>2</v>
      </c>
      <c r="W29" s="5">
        <v>2</v>
      </c>
      <c r="X29" s="5">
        <v>4</v>
      </c>
      <c r="Y29" s="5">
        <v>4</v>
      </c>
      <c r="Z29" s="15">
        <f>AVERAGE(Form_Responses[[#This Row],[I believe that money is easy to be stolen by using AI in banking.]:[AI in banking may not perform well and could create issues with my bank account.]])</f>
        <v>3</v>
      </c>
      <c r="AA29" s="5">
        <v>4</v>
      </c>
      <c r="AB29" s="5">
        <v>5</v>
      </c>
      <c r="AC29" s="5">
        <v>4</v>
      </c>
      <c r="AD29" s="5">
        <v>4</v>
      </c>
      <c r="AE29" s="15">
        <f>AVERAGE(Form_Responses[[#This Row],[I believe that banking AI is trustworthy.]:[I trust banking AI to protect my personal information.]])</f>
        <v>4.25</v>
      </c>
      <c r="AF29" s="5">
        <v>4</v>
      </c>
      <c r="AG29" s="5">
        <v>5</v>
      </c>
      <c r="AH29" s="6">
        <v>3</v>
      </c>
      <c r="AI29" s="13">
        <f>AVERAGE(Form_Responses[[#This Row],[I would like to use banking AI soon.]:[I intend to use AI banking in my banking process. ]])</f>
        <v>4</v>
      </c>
    </row>
    <row r="30" spans="1:35" x14ac:dyDescent="0.25">
      <c r="A30" s="1">
        <v>45913.763327766203</v>
      </c>
      <c r="B30" s="2" t="s">
        <v>38</v>
      </c>
      <c r="C30" s="2" t="s">
        <v>35</v>
      </c>
      <c r="D30" s="2" t="s">
        <v>34</v>
      </c>
      <c r="E30" s="2" t="s">
        <v>32</v>
      </c>
      <c r="F30" s="2" t="s">
        <v>41</v>
      </c>
      <c r="G30" s="2">
        <v>4</v>
      </c>
      <c r="H30" s="2">
        <v>4</v>
      </c>
      <c r="I30" s="2">
        <v>4</v>
      </c>
      <c r="J30" s="2">
        <v>4</v>
      </c>
      <c r="K30" s="14">
        <f>AVERAGE(Form_Responses[[#This Row],[Using AI in banking can meet my service needs.]:[Overall, I find AI in banking to be useful.]])</f>
        <v>4</v>
      </c>
      <c r="L30" s="2">
        <v>4</v>
      </c>
      <c r="M30" s="2">
        <v>4</v>
      </c>
      <c r="N30" s="2">
        <v>4</v>
      </c>
      <c r="O30" s="2">
        <v>4</v>
      </c>
      <c r="P30" s="14">
        <f>AVERAGE(Form_Responses[[#This Row],[Learning to use AI in banking is easy to me.]:[Interacting with AI in banking requires minimal mental effort from me. ]])</f>
        <v>4</v>
      </c>
      <c r="Q30" s="2">
        <v>4</v>
      </c>
      <c r="R30" s="2">
        <v>4</v>
      </c>
      <c r="S30" s="2">
        <v>4</v>
      </c>
      <c r="T30" s="2">
        <v>4</v>
      </c>
      <c r="U30" s="14">
        <f>AVERAGE(Form_Responses[[#This Row],[I believe using AI in banking is a good idea.]:[I am interested in the application of AI in Banking.]])</f>
        <v>4</v>
      </c>
      <c r="V30" s="2">
        <v>2</v>
      </c>
      <c r="W30" s="2">
        <v>2</v>
      </c>
      <c r="X30" s="2">
        <v>2</v>
      </c>
      <c r="Y30" s="2">
        <v>2</v>
      </c>
      <c r="Z30" s="14">
        <f>AVERAGE(Form_Responses[[#This Row],[I believe that money is easy to be stolen by using AI in banking.]:[AI in banking may not perform well and could create issues with my bank account.]])</f>
        <v>2</v>
      </c>
      <c r="AA30" s="2">
        <v>3</v>
      </c>
      <c r="AB30" s="2">
        <v>3</v>
      </c>
      <c r="AC30" s="2">
        <v>4</v>
      </c>
      <c r="AD30" s="2">
        <v>4</v>
      </c>
      <c r="AE30" s="14">
        <f>AVERAGE(Form_Responses[[#This Row],[I believe that banking AI is trustworthy.]:[I trust banking AI to protect my personal information.]])</f>
        <v>3.5</v>
      </c>
      <c r="AF30" s="2">
        <v>3</v>
      </c>
      <c r="AG30" s="2">
        <v>3</v>
      </c>
      <c r="AH30" s="3">
        <v>3</v>
      </c>
      <c r="AI30" s="13">
        <f>AVERAGE(Form_Responses[[#This Row],[I would like to use banking AI soon.]:[I intend to use AI banking in my banking process. ]])</f>
        <v>3</v>
      </c>
    </row>
    <row r="31" spans="1:35" x14ac:dyDescent="0.25">
      <c r="A31" s="4">
        <v>45913.930499918977</v>
      </c>
      <c r="B31" s="5" t="s">
        <v>38</v>
      </c>
      <c r="C31" s="5" t="s">
        <v>35</v>
      </c>
      <c r="D31" s="5" t="s">
        <v>34</v>
      </c>
      <c r="E31" s="5" t="s">
        <v>32</v>
      </c>
      <c r="F31" s="5" t="s">
        <v>39</v>
      </c>
      <c r="G31" s="5">
        <v>3</v>
      </c>
      <c r="H31" s="5">
        <v>4</v>
      </c>
      <c r="I31" s="5">
        <v>3</v>
      </c>
      <c r="J31" s="5">
        <v>3</v>
      </c>
      <c r="K31" s="15">
        <f>AVERAGE(Form_Responses[[#This Row],[Using AI in banking can meet my service needs.]:[Overall, I find AI in banking to be useful.]])</f>
        <v>3.25</v>
      </c>
      <c r="L31" s="5">
        <v>3</v>
      </c>
      <c r="M31" s="5">
        <v>3</v>
      </c>
      <c r="N31" s="5">
        <v>3</v>
      </c>
      <c r="O31" s="5">
        <v>3</v>
      </c>
      <c r="P31" s="15">
        <f>AVERAGE(Form_Responses[[#This Row],[Learning to use AI in banking is easy to me.]:[Interacting with AI in banking requires minimal mental effort from me. ]])</f>
        <v>3</v>
      </c>
      <c r="Q31" s="5">
        <v>4</v>
      </c>
      <c r="R31" s="5">
        <v>3</v>
      </c>
      <c r="S31" s="5">
        <v>3</v>
      </c>
      <c r="T31" s="5">
        <v>3</v>
      </c>
      <c r="U31" s="15">
        <f>AVERAGE(Form_Responses[[#This Row],[I believe using AI in banking is a good idea.]:[I am interested in the application of AI in Banking.]])</f>
        <v>3.25</v>
      </c>
      <c r="V31" s="5">
        <v>3</v>
      </c>
      <c r="W31" s="5">
        <v>5</v>
      </c>
      <c r="X31" s="5">
        <v>4</v>
      </c>
      <c r="Y31" s="5">
        <v>4</v>
      </c>
      <c r="Z31" s="15">
        <f>AVERAGE(Form_Responses[[#This Row],[I believe that money is easy to be stolen by using AI in banking.]:[AI in banking may not perform well and could create issues with my bank account.]])</f>
        <v>4</v>
      </c>
      <c r="AA31" s="5">
        <v>3</v>
      </c>
      <c r="AB31" s="5">
        <v>4</v>
      </c>
      <c r="AC31" s="5">
        <v>3</v>
      </c>
      <c r="AD31" s="5">
        <v>3</v>
      </c>
      <c r="AE31" s="15">
        <f>AVERAGE(Form_Responses[[#This Row],[I believe that banking AI is trustworthy.]:[I trust banking AI to protect my personal information.]])</f>
        <v>3.25</v>
      </c>
      <c r="AF31" s="5">
        <v>3</v>
      </c>
      <c r="AG31" s="5">
        <v>4</v>
      </c>
      <c r="AH31" s="6">
        <v>3</v>
      </c>
      <c r="AI31" s="13">
        <f>AVERAGE(Form_Responses[[#This Row],[I would like to use banking AI soon.]:[I intend to use AI banking in my banking process. ]])</f>
        <v>3.3333333333333335</v>
      </c>
    </row>
    <row r="32" spans="1:35" x14ac:dyDescent="0.25">
      <c r="A32" s="1">
        <v>45914.359703229165</v>
      </c>
      <c r="B32" s="2" t="s">
        <v>38</v>
      </c>
      <c r="C32" s="2" t="s">
        <v>35</v>
      </c>
      <c r="D32" s="2" t="s">
        <v>34</v>
      </c>
      <c r="E32" s="2" t="s">
        <v>32</v>
      </c>
      <c r="F32" s="2" t="s">
        <v>36</v>
      </c>
      <c r="G32" s="2">
        <v>4</v>
      </c>
      <c r="H32" s="2">
        <v>4</v>
      </c>
      <c r="I32" s="2">
        <v>5</v>
      </c>
      <c r="J32" s="2">
        <v>4</v>
      </c>
      <c r="K32" s="14">
        <f>AVERAGE(Form_Responses[[#This Row],[Using AI in banking can meet my service needs.]:[Overall, I find AI in banking to be useful.]])</f>
        <v>4.25</v>
      </c>
      <c r="L32" s="2">
        <v>4</v>
      </c>
      <c r="M32" s="2">
        <v>4</v>
      </c>
      <c r="N32" s="2">
        <v>3</v>
      </c>
      <c r="O32" s="2">
        <v>4</v>
      </c>
      <c r="P32" s="14">
        <f>AVERAGE(Form_Responses[[#This Row],[Learning to use AI in banking is easy to me.]:[Interacting with AI in banking requires minimal mental effort from me. ]])</f>
        <v>3.75</v>
      </c>
      <c r="Q32" s="2">
        <v>5</v>
      </c>
      <c r="R32" s="2">
        <v>4</v>
      </c>
      <c r="S32" s="2">
        <v>3</v>
      </c>
      <c r="T32" s="2">
        <v>5</v>
      </c>
      <c r="U32" s="14">
        <f>AVERAGE(Form_Responses[[#This Row],[I believe using AI in banking is a good idea.]:[I am interested in the application of AI in Banking.]])</f>
        <v>4.25</v>
      </c>
      <c r="V32" s="2">
        <v>3</v>
      </c>
      <c r="W32" s="2">
        <v>5</v>
      </c>
      <c r="X32" s="2">
        <v>5</v>
      </c>
      <c r="Y32" s="2">
        <v>5</v>
      </c>
      <c r="Z32" s="14">
        <f>AVERAGE(Form_Responses[[#This Row],[I believe that money is easy to be stolen by using AI in banking.]:[AI in banking may not perform well and could create issues with my bank account.]])</f>
        <v>4.5</v>
      </c>
      <c r="AA32" s="2">
        <v>2</v>
      </c>
      <c r="AB32" s="2">
        <v>4</v>
      </c>
      <c r="AC32" s="2">
        <v>3</v>
      </c>
      <c r="AD32" s="2">
        <v>3</v>
      </c>
      <c r="AE32" s="14">
        <f>AVERAGE(Form_Responses[[#This Row],[I believe that banking AI is trustworthy.]:[I trust banking AI to protect my personal information.]])</f>
        <v>3</v>
      </c>
      <c r="AF32" s="2">
        <v>5</v>
      </c>
      <c r="AG32" s="2">
        <v>4</v>
      </c>
      <c r="AH32" s="3">
        <v>4</v>
      </c>
      <c r="AI32" s="13">
        <f>AVERAGE(Form_Responses[[#This Row],[I would like to use banking AI soon.]:[I intend to use AI banking in my banking process. ]])</f>
        <v>4.333333333333333</v>
      </c>
    </row>
    <row r="33" spans="1:35" x14ac:dyDescent="0.25">
      <c r="A33" s="4">
        <v>45914.689681041666</v>
      </c>
      <c r="B33" s="5" t="s">
        <v>29</v>
      </c>
      <c r="C33" s="5" t="s">
        <v>35</v>
      </c>
      <c r="D33" s="5" t="s">
        <v>34</v>
      </c>
      <c r="E33" s="5" t="s">
        <v>32</v>
      </c>
      <c r="F33" s="5" t="s">
        <v>36</v>
      </c>
      <c r="G33" s="5">
        <v>3</v>
      </c>
      <c r="H33" s="5">
        <v>3</v>
      </c>
      <c r="I33" s="5">
        <v>3</v>
      </c>
      <c r="J33" s="5">
        <v>3</v>
      </c>
      <c r="K33" s="15">
        <f>AVERAGE(Form_Responses[[#This Row],[Using AI in banking can meet my service needs.]:[Overall, I find AI in banking to be useful.]])</f>
        <v>3</v>
      </c>
      <c r="L33" s="5">
        <v>3</v>
      </c>
      <c r="M33" s="5">
        <v>3</v>
      </c>
      <c r="N33" s="5">
        <v>3</v>
      </c>
      <c r="O33" s="5">
        <v>3</v>
      </c>
      <c r="P33" s="15">
        <f>AVERAGE(Form_Responses[[#This Row],[Learning to use AI in banking is easy to me.]:[Interacting with AI in banking requires minimal mental effort from me. ]])</f>
        <v>3</v>
      </c>
      <c r="Q33" s="5">
        <v>3</v>
      </c>
      <c r="R33" s="5">
        <v>3</v>
      </c>
      <c r="S33" s="5">
        <v>3</v>
      </c>
      <c r="T33" s="5">
        <v>3</v>
      </c>
      <c r="U33" s="15">
        <f>AVERAGE(Form_Responses[[#This Row],[I believe using AI in banking is a good idea.]:[I am interested in the application of AI in Banking.]])</f>
        <v>3</v>
      </c>
      <c r="V33" s="5">
        <v>3</v>
      </c>
      <c r="W33" s="5">
        <v>3</v>
      </c>
      <c r="X33" s="5">
        <v>3</v>
      </c>
      <c r="Y33" s="5">
        <v>3</v>
      </c>
      <c r="Z33" s="15">
        <f>AVERAGE(Form_Responses[[#This Row],[I believe that money is easy to be stolen by using AI in banking.]:[AI in banking may not perform well and could create issues with my bank account.]])</f>
        <v>3</v>
      </c>
      <c r="AA33" s="5">
        <v>3</v>
      </c>
      <c r="AB33" s="5">
        <v>3</v>
      </c>
      <c r="AC33" s="5">
        <v>3</v>
      </c>
      <c r="AD33" s="5">
        <v>3</v>
      </c>
      <c r="AE33" s="15">
        <f>AVERAGE(Form_Responses[[#This Row],[I believe that banking AI is trustworthy.]:[I trust banking AI to protect my personal information.]])</f>
        <v>3</v>
      </c>
      <c r="AF33" s="5">
        <v>3</v>
      </c>
      <c r="AG33" s="5">
        <v>3</v>
      </c>
      <c r="AH33" s="6">
        <v>3</v>
      </c>
      <c r="AI33" s="13">
        <f>AVERAGE(Form_Responses[[#This Row],[I would like to use banking AI soon.]:[I intend to use AI banking in my banking process. ]])</f>
        <v>3</v>
      </c>
    </row>
    <row r="34" spans="1:35" x14ac:dyDescent="0.25">
      <c r="A34" s="1">
        <v>45916.371663634258</v>
      </c>
      <c r="B34" s="2" t="s">
        <v>29</v>
      </c>
      <c r="C34" s="2" t="s">
        <v>30</v>
      </c>
      <c r="D34" s="2" t="s">
        <v>43</v>
      </c>
      <c r="E34" s="2" t="s">
        <v>32</v>
      </c>
      <c r="F34" s="2" t="s">
        <v>39</v>
      </c>
      <c r="G34" s="2">
        <v>4</v>
      </c>
      <c r="H34" s="2">
        <v>5</v>
      </c>
      <c r="I34" s="2">
        <v>5</v>
      </c>
      <c r="J34" s="2">
        <v>5</v>
      </c>
      <c r="K34" s="14">
        <f>AVERAGE(Form_Responses[[#This Row],[Using AI in banking can meet my service needs.]:[Overall, I find AI in banking to be useful.]])</f>
        <v>4.75</v>
      </c>
      <c r="L34" s="2">
        <v>3</v>
      </c>
      <c r="M34" s="2">
        <v>2</v>
      </c>
      <c r="N34" s="2">
        <v>4</v>
      </c>
      <c r="O34" s="2">
        <v>2</v>
      </c>
      <c r="P34" s="14">
        <f>AVERAGE(Form_Responses[[#This Row],[Learning to use AI in banking is easy to me.]:[Interacting with AI in banking requires minimal mental effort from me. ]])</f>
        <v>2.75</v>
      </c>
      <c r="Q34" s="2">
        <v>4</v>
      </c>
      <c r="R34" s="2">
        <v>4</v>
      </c>
      <c r="S34" s="2">
        <v>5</v>
      </c>
      <c r="T34" s="2">
        <v>2</v>
      </c>
      <c r="U34" s="14">
        <f>AVERAGE(Form_Responses[[#This Row],[I believe using AI in banking is a good idea.]:[I am interested in the application of AI in Banking.]])</f>
        <v>3.75</v>
      </c>
      <c r="V34" s="2">
        <v>5</v>
      </c>
      <c r="W34" s="2">
        <v>4</v>
      </c>
      <c r="X34" s="2">
        <v>5</v>
      </c>
      <c r="Y34" s="2">
        <v>5</v>
      </c>
      <c r="Z34" s="14">
        <f>AVERAGE(Form_Responses[[#This Row],[I believe that money is easy to be stolen by using AI in banking.]:[AI in banking may not perform well and could create issues with my bank account.]])</f>
        <v>4.75</v>
      </c>
      <c r="AA34" s="2">
        <v>2</v>
      </c>
      <c r="AB34" s="2">
        <v>1</v>
      </c>
      <c r="AC34" s="2">
        <v>1</v>
      </c>
      <c r="AD34" s="2">
        <v>1</v>
      </c>
      <c r="AE34" s="14">
        <f>AVERAGE(Form_Responses[[#This Row],[I believe that banking AI is trustworthy.]:[I trust banking AI to protect my personal information.]])</f>
        <v>1.25</v>
      </c>
      <c r="AF34" s="2">
        <v>2</v>
      </c>
      <c r="AG34" s="2">
        <v>3</v>
      </c>
      <c r="AH34" s="3">
        <v>2</v>
      </c>
      <c r="AI34" s="13">
        <f>AVERAGE(Form_Responses[[#This Row],[I would like to use banking AI soon.]:[I intend to use AI banking in my banking process. ]])</f>
        <v>2.3333333333333335</v>
      </c>
    </row>
    <row r="35" spans="1:35" x14ac:dyDescent="0.25">
      <c r="A35" s="7">
        <v>45920.609714791666</v>
      </c>
      <c r="B35" s="8" t="s">
        <v>29</v>
      </c>
      <c r="C35" s="8" t="s">
        <v>30</v>
      </c>
      <c r="D35" s="8" t="s">
        <v>34</v>
      </c>
      <c r="E35" s="8" t="s">
        <v>32</v>
      </c>
      <c r="F35" s="8" t="s">
        <v>37</v>
      </c>
      <c r="G35" s="8">
        <v>3</v>
      </c>
      <c r="H35" s="8">
        <v>4</v>
      </c>
      <c r="I35" s="8">
        <v>4</v>
      </c>
      <c r="J35" s="8">
        <v>4</v>
      </c>
      <c r="K35" s="16">
        <f>AVERAGE(Form_Responses[[#This Row],[Using AI in banking can meet my service needs.]:[Overall, I find AI in banking to be useful.]])</f>
        <v>3.75</v>
      </c>
      <c r="L35" s="8">
        <v>3</v>
      </c>
      <c r="M35" s="8">
        <v>3</v>
      </c>
      <c r="N35" s="8">
        <v>2</v>
      </c>
      <c r="O35" s="8">
        <v>3</v>
      </c>
      <c r="P35" s="16">
        <f>AVERAGE(Form_Responses[[#This Row],[Learning to use AI in banking is easy to me.]:[Interacting with AI in banking requires minimal mental effort from me. ]])</f>
        <v>2.75</v>
      </c>
      <c r="Q35" s="8">
        <v>4</v>
      </c>
      <c r="R35" s="8">
        <v>3</v>
      </c>
      <c r="S35" s="8">
        <v>5</v>
      </c>
      <c r="T35" s="8">
        <v>4</v>
      </c>
      <c r="U35" s="16">
        <f>AVERAGE(Form_Responses[[#This Row],[I believe using AI in banking is a good idea.]:[I am interested in the application of AI in Banking.]])</f>
        <v>4</v>
      </c>
      <c r="V35" s="8">
        <v>4</v>
      </c>
      <c r="W35" s="8">
        <v>5</v>
      </c>
      <c r="X35" s="8">
        <v>3</v>
      </c>
      <c r="Y35" s="8">
        <v>3</v>
      </c>
      <c r="Z35" s="16">
        <f>AVERAGE(Form_Responses[[#This Row],[I believe that money is easy to be stolen by using AI in banking.]:[AI in banking may not perform well and could create issues with my bank account.]])</f>
        <v>3.75</v>
      </c>
      <c r="AA35" s="8">
        <v>3</v>
      </c>
      <c r="AB35" s="8">
        <v>4</v>
      </c>
      <c r="AC35" s="8">
        <v>4</v>
      </c>
      <c r="AD35" s="8">
        <v>5</v>
      </c>
      <c r="AE35" s="16">
        <f>AVERAGE(Form_Responses[[#This Row],[I believe that banking AI is trustworthy.]:[I trust banking AI to protect my personal information.]])</f>
        <v>4</v>
      </c>
      <c r="AF35" s="8">
        <v>5</v>
      </c>
      <c r="AG35" s="8">
        <v>4</v>
      </c>
      <c r="AH35" s="9">
        <v>3</v>
      </c>
      <c r="AI35" s="13">
        <f>AVERAGE(Form_Responses[[#This Row],[I would like to use banking AI soon.]:[I intend to use AI banking in my banking process. ]])</f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 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 YEE SIONG</cp:lastModifiedBy>
  <dcterms:modified xsi:type="dcterms:W3CDTF">2025-09-26T05:51:49Z</dcterms:modified>
</cp:coreProperties>
</file>